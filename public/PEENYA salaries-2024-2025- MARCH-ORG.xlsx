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23955" windowHeight="8895"/>
  </bookViews>
  <sheets>
    <sheet name="PRODUCTION" sheetId="55" r:id="rId1"/>
    <sheet name="tailor list (2)" sheetId="65" r:id="rId2"/>
    <sheet name="FC-PCS WORK -BUTTON &amp; RIVETS" sheetId="58" r:id="rId3"/>
    <sheet name="FC- PCS WORK -TRIM &amp; CHECK" sheetId="59" r:id="rId4"/>
  </sheets>
  <definedNames>
    <definedName name="_xlnm._FilterDatabase" localSheetId="1" hidden="1">'tailor list (2)'!$A$3:$H$52</definedName>
    <definedName name="_xlnm.Print_Area" localSheetId="3">'FC- PCS WORK -TRIM &amp; CHECK'!$B$15:$I$61</definedName>
    <definedName name="_xlnm.Print_Area" localSheetId="2">'FC-PCS WORK -BUTTON &amp; RIVETS'!$B$2:$H$63</definedName>
    <definedName name="_xlnm.Print_Area" localSheetId="0">PRODUCTION!$A$1:$K$42</definedName>
    <definedName name="_xlnm.Print_Area" localSheetId="1">'tailor list (2)'!$A$2:$F$51</definedName>
  </definedNames>
  <calcPr calcId="162913"/>
</workbook>
</file>

<file path=xl/calcChain.xml><?xml version="1.0" encoding="utf-8"?>
<calcChain xmlns="http://schemas.openxmlformats.org/spreadsheetml/2006/main">
  <c r="K18" i="55" l="1"/>
  <c r="I18" i="55"/>
  <c r="G18" i="55"/>
  <c r="E51" i="65" l="1"/>
  <c r="H51" i="65" s="1"/>
  <c r="I60" i="59" l="1"/>
  <c r="B6" i="59" l="1"/>
  <c r="B9" i="59"/>
  <c r="B8" i="59"/>
  <c r="G50" i="59"/>
  <c r="G53" i="59" l="1"/>
  <c r="F21" i="59"/>
  <c r="E21" i="59"/>
  <c r="D21" i="59"/>
  <c r="I20" i="59"/>
  <c r="I19" i="59"/>
  <c r="D48" i="58"/>
  <c r="D45" i="58"/>
  <c r="G45" i="58"/>
  <c r="G59" i="58"/>
  <c r="G61" i="58" s="1"/>
  <c r="F34" i="58"/>
  <c r="F22" i="58"/>
  <c r="H45" i="58" l="1"/>
  <c r="F11" i="58"/>
  <c r="F10" i="58"/>
  <c r="F9" i="58"/>
  <c r="F8" i="58"/>
  <c r="F7" i="58"/>
  <c r="F6" i="58"/>
  <c r="F5" i="58"/>
  <c r="G47" i="58" l="1"/>
  <c r="H47" i="58" s="1"/>
  <c r="F12" i="58"/>
  <c r="D12" i="58"/>
  <c r="E32" i="65" l="1"/>
  <c r="H32" i="65" s="1"/>
  <c r="E31" i="65"/>
  <c r="H31" i="65" s="1"/>
  <c r="E30" i="65"/>
  <c r="H30" i="65" s="1"/>
  <c r="E29" i="65"/>
  <c r="H29" i="65" s="1"/>
  <c r="E28" i="65"/>
  <c r="H28" i="65" s="1"/>
  <c r="E27" i="65"/>
  <c r="H27" i="65" s="1"/>
  <c r="E26" i="65"/>
  <c r="H26" i="65" s="1"/>
  <c r="E25" i="65"/>
  <c r="H25" i="65" s="1"/>
  <c r="E24" i="65"/>
  <c r="H24" i="65" s="1"/>
  <c r="E23" i="65"/>
  <c r="H23" i="65" s="1"/>
  <c r="E22" i="65"/>
  <c r="H22" i="65" s="1"/>
  <c r="E21" i="65"/>
  <c r="H21" i="65" s="1"/>
  <c r="E20" i="65"/>
  <c r="H20" i="65" s="1"/>
  <c r="E19" i="65"/>
  <c r="H19" i="65" s="1"/>
  <c r="F52" i="65" l="1"/>
  <c r="D52" i="65" l="1"/>
  <c r="C52" i="65"/>
  <c r="E6" i="65" l="1"/>
  <c r="H6" i="65" s="1"/>
  <c r="E5" i="65"/>
  <c r="E4" i="65"/>
  <c r="G42" i="58" l="1"/>
  <c r="H42" i="58" s="1"/>
  <c r="G48" i="59" l="1"/>
  <c r="G54" i="59"/>
  <c r="G52" i="59"/>
  <c r="G51" i="59"/>
  <c r="G49" i="59"/>
  <c r="G47" i="59"/>
  <c r="I30" i="59"/>
  <c r="F41" i="55" l="1"/>
  <c r="E41" i="55"/>
  <c r="E48" i="65" l="1"/>
  <c r="H48" i="65" s="1"/>
  <c r="E47" i="65" l="1"/>
  <c r="H47" i="65" s="1"/>
  <c r="E20" i="55" l="1"/>
  <c r="C21" i="59" l="1"/>
  <c r="I16" i="59"/>
  <c r="F7" i="59"/>
  <c r="F6" i="59"/>
  <c r="E23" i="59" l="1"/>
  <c r="G44" i="58"/>
  <c r="H44" i="58" s="1"/>
  <c r="D36" i="58" l="1"/>
  <c r="F35" i="58"/>
  <c r="F23" i="58"/>
  <c r="D24" i="58"/>
  <c r="I18" i="59"/>
  <c r="F23" i="59"/>
  <c r="F55" i="59" l="1"/>
  <c r="F57" i="59" s="1"/>
  <c r="F60" i="59" s="1"/>
  <c r="E50" i="65" l="1"/>
  <c r="H50" i="65" s="1"/>
  <c r="E49" i="65"/>
  <c r="H49" i="65" s="1"/>
  <c r="E46" i="65"/>
  <c r="H46" i="65" s="1"/>
  <c r="E45" i="65"/>
  <c r="H45" i="65" s="1"/>
  <c r="E44" i="65"/>
  <c r="H44" i="65" s="1"/>
  <c r="E43" i="65"/>
  <c r="H43" i="65" s="1"/>
  <c r="E42" i="65"/>
  <c r="H42" i="65" s="1"/>
  <c r="E41" i="65"/>
  <c r="H41" i="65" s="1"/>
  <c r="E40" i="65"/>
  <c r="H40" i="65" s="1"/>
  <c r="E39" i="65"/>
  <c r="H39" i="65" s="1"/>
  <c r="E38" i="65"/>
  <c r="H38" i="65" s="1"/>
  <c r="E37" i="65"/>
  <c r="H37" i="65" s="1"/>
  <c r="E36" i="65"/>
  <c r="H36" i="65" s="1"/>
  <c r="E35" i="65"/>
  <c r="H35" i="65" s="1"/>
  <c r="E34" i="65"/>
  <c r="H34" i="65" s="1"/>
  <c r="E33" i="65"/>
  <c r="H33" i="65" s="1"/>
  <c r="E18" i="65"/>
  <c r="H18" i="65" s="1"/>
  <c r="E17" i="65"/>
  <c r="H17" i="65" s="1"/>
  <c r="E16" i="65"/>
  <c r="H16" i="65" s="1"/>
  <c r="E15" i="65"/>
  <c r="H15" i="65" s="1"/>
  <c r="E14" i="65"/>
  <c r="H14" i="65" s="1"/>
  <c r="E13" i="65"/>
  <c r="H13" i="65" s="1"/>
  <c r="E12" i="65"/>
  <c r="H12" i="65" s="1"/>
  <c r="E11" i="65"/>
  <c r="H11" i="65" s="1"/>
  <c r="E10" i="65"/>
  <c r="H10" i="65" s="1"/>
  <c r="E9" i="65"/>
  <c r="H9" i="65" s="1"/>
  <c r="E8" i="65"/>
  <c r="H8" i="65" s="1"/>
  <c r="E7" i="65"/>
  <c r="H7" i="65" s="1"/>
  <c r="H5" i="65"/>
  <c r="H4" i="65"/>
  <c r="E52" i="65" l="1"/>
  <c r="H52" i="65"/>
  <c r="E31" i="59" l="1"/>
  <c r="C31" i="59"/>
  <c r="I31" i="59"/>
  <c r="F33" i="58" l="1"/>
  <c r="F32" i="58"/>
  <c r="F31" i="58"/>
  <c r="F20" i="58"/>
  <c r="F21" i="58"/>
  <c r="K19" i="55" l="1"/>
  <c r="K17" i="55"/>
  <c r="K16" i="55"/>
  <c r="K15" i="55"/>
  <c r="K14" i="55"/>
  <c r="K13" i="55"/>
  <c r="K12" i="55"/>
  <c r="K11" i="55"/>
  <c r="K10" i="55"/>
  <c r="K9" i="55"/>
  <c r="K8" i="55"/>
  <c r="K7" i="55"/>
  <c r="G30" i="55" l="1"/>
  <c r="G40" i="55" l="1"/>
  <c r="G39" i="55"/>
  <c r="G38" i="55"/>
  <c r="G37" i="55"/>
  <c r="G19" i="55"/>
  <c r="I19" i="55"/>
  <c r="G43" i="58" l="1"/>
  <c r="H43" i="58" s="1"/>
  <c r="G46" i="58" l="1"/>
  <c r="G41" i="58"/>
  <c r="I34" i="65" l="1"/>
  <c r="G31" i="55" l="1"/>
  <c r="I11" i="55"/>
  <c r="G11" i="55"/>
  <c r="D23" i="59" l="1"/>
  <c r="F30" i="58"/>
  <c r="F29" i="58"/>
  <c r="H20" i="55" l="1"/>
  <c r="K6" i="55"/>
  <c r="K20" i="55" s="1"/>
  <c r="I9" i="55"/>
  <c r="I15" i="55"/>
  <c r="I10" i="55"/>
  <c r="I8" i="55"/>
  <c r="I7" i="55"/>
  <c r="I6" i="55"/>
  <c r="I14" i="55"/>
  <c r="I16" i="55"/>
  <c r="I13" i="55"/>
  <c r="I17" i="55"/>
  <c r="I12" i="55"/>
  <c r="I20" i="55" l="1"/>
  <c r="G28" i="55"/>
  <c r="G9" i="55"/>
  <c r="G15" i="55"/>
  <c r="F28" i="58" l="1"/>
  <c r="F19" i="58"/>
  <c r="F18" i="58"/>
  <c r="F17" i="58"/>
  <c r="F16" i="58"/>
  <c r="H46" i="58"/>
  <c r="H41" i="58"/>
  <c r="H48" i="58" s="1"/>
  <c r="G40" i="58"/>
  <c r="H40" i="58" s="1"/>
  <c r="G39" i="58"/>
  <c r="H39" i="58" s="1"/>
  <c r="F24" i="58" l="1"/>
  <c r="F36" i="58"/>
  <c r="E57" i="58" s="1"/>
  <c r="H51" i="58" l="1"/>
  <c r="G6" i="55" l="1"/>
  <c r="G10" i="55"/>
  <c r="G7" i="55"/>
  <c r="G14" i="55"/>
  <c r="G16" i="55"/>
  <c r="G8" i="55"/>
  <c r="G13" i="55"/>
  <c r="G17" i="55"/>
  <c r="D59" i="58" l="1"/>
  <c r="E55" i="59" l="1"/>
  <c r="D55" i="59"/>
  <c r="D31" i="59"/>
  <c r="G55" i="59" l="1"/>
  <c r="H36" i="58"/>
  <c r="F57" i="58" l="1"/>
  <c r="H57" i="58" s="1"/>
  <c r="C55" i="59" l="1"/>
  <c r="G34" i="55" l="1"/>
  <c r="G29" i="55"/>
  <c r="G36" i="55"/>
  <c r="G26" i="55"/>
  <c r="I38" i="59" l="1"/>
  <c r="H39" i="59"/>
  <c r="G39" i="59"/>
  <c r="F39" i="59"/>
  <c r="E39" i="59"/>
  <c r="D39" i="59"/>
  <c r="C39" i="59"/>
  <c r="I39" i="59" l="1"/>
  <c r="C33" i="59" l="1"/>
  <c r="H24" i="58" l="1"/>
  <c r="E55" i="58"/>
  <c r="E56" i="58" l="1"/>
  <c r="H21" i="59" l="1"/>
  <c r="G21" i="59"/>
  <c r="I17" i="59"/>
  <c r="I21" i="59" s="1"/>
  <c r="F31" i="59" l="1"/>
  <c r="G33" i="55" l="1"/>
  <c r="G12" i="55" l="1"/>
  <c r="G20" i="55" s="1"/>
  <c r="I23" i="55" s="1"/>
  <c r="G35" i="55" l="1"/>
  <c r="G32" i="55"/>
  <c r="G27" i="55" l="1"/>
  <c r="H41" i="59" l="1"/>
  <c r="G41" i="59"/>
  <c r="F41" i="59"/>
  <c r="E41" i="59"/>
  <c r="D41" i="59"/>
  <c r="C41" i="59"/>
  <c r="I41" i="59" l="1"/>
  <c r="D12" i="59" l="1"/>
  <c r="F11" i="59" l="1"/>
  <c r="E54" i="58" l="1"/>
  <c r="E59" i="58" s="1"/>
  <c r="H12" i="58"/>
  <c r="E61" i="58" l="1"/>
  <c r="E57" i="59" l="1"/>
  <c r="E60" i="59" s="1"/>
  <c r="H31" i="59" l="1"/>
  <c r="H33" i="59" s="1"/>
  <c r="G31" i="59"/>
  <c r="G33" i="59" s="1"/>
  <c r="F33" i="59"/>
  <c r="E33" i="59"/>
  <c r="D33" i="59"/>
  <c r="H23" i="59" l="1"/>
  <c r="H43" i="59" s="1"/>
  <c r="G23" i="59"/>
  <c r="G43" i="59" s="1"/>
  <c r="E43" i="59"/>
  <c r="C8" i="59" s="1"/>
  <c r="D43" i="59" l="1"/>
  <c r="C7" i="59" s="1"/>
  <c r="F43" i="59"/>
  <c r="C9" i="59" s="1"/>
  <c r="G9" i="59" s="1"/>
  <c r="I9" i="59" s="1"/>
  <c r="C57" i="59"/>
  <c r="C60" i="59" s="1"/>
  <c r="I33" i="59" l="1"/>
  <c r="C23" i="59"/>
  <c r="C43" i="59" s="1"/>
  <c r="C6" i="59" s="1"/>
  <c r="I23" i="59" l="1"/>
  <c r="I43" i="59" s="1"/>
  <c r="F12" i="59"/>
  <c r="D57" i="59"/>
  <c r="G7" i="59"/>
  <c r="G57" i="59" l="1"/>
  <c r="H57" i="59" s="1"/>
  <c r="D60" i="59"/>
  <c r="G11" i="59"/>
  <c r="I11" i="59" s="1"/>
  <c r="G8" i="59"/>
  <c r="I7" i="59"/>
  <c r="G6" i="59"/>
  <c r="F56" i="58"/>
  <c r="H56" i="58" s="1"/>
  <c r="G60" i="59" l="1"/>
  <c r="C10" i="59" s="1"/>
  <c r="G10" i="59" s="1"/>
  <c r="H12" i="59"/>
  <c r="I6" i="59"/>
  <c r="I10" i="59" l="1"/>
  <c r="G12" i="59"/>
  <c r="I8" i="59"/>
  <c r="C12" i="59"/>
  <c r="F54" i="58"/>
  <c r="H54" i="58" s="1"/>
  <c r="I12" i="59" l="1"/>
  <c r="F55" i="58" l="1"/>
  <c r="F59" i="58" l="1"/>
  <c r="F61" i="58" s="1"/>
  <c r="H55" i="58"/>
  <c r="H59" i="58" s="1"/>
  <c r="H61" i="58" s="1"/>
</calcChain>
</file>

<file path=xl/sharedStrings.xml><?xml version="1.0" encoding="utf-8"?>
<sst xmlns="http://schemas.openxmlformats.org/spreadsheetml/2006/main" count="237" uniqueCount="143">
  <si>
    <t>Name</t>
  </si>
  <si>
    <t>Advance Taken</t>
  </si>
  <si>
    <t>Earned salary</t>
  </si>
  <si>
    <t>Net Salary</t>
  </si>
  <si>
    <t>OT HRS</t>
  </si>
  <si>
    <t>RAVI</t>
  </si>
  <si>
    <t>GOWRAMMA</t>
  </si>
  <si>
    <t>ANITHA</t>
  </si>
  <si>
    <t>SL.NO</t>
  </si>
  <si>
    <t>QTY</t>
  </si>
  <si>
    <t>NO OF FIX</t>
  </si>
  <si>
    <t>VALUE</t>
  </si>
  <si>
    <t>REMARKS</t>
  </si>
  <si>
    <t>BUTTON / RIVET - KUMAR V</t>
  </si>
  <si>
    <t>price/ pcs</t>
  </si>
  <si>
    <t>price per GMT</t>
  </si>
  <si>
    <t>Value</t>
  </si>
  <si>
    <t>KUMAR V</t>
  </si>
  <si>
    <t>BARTACK</t>
  </si>
  <si>
    <t>PRICE</t>
  </si>
  <si>
    <t>SUNIL</t>
  </si>
  <si>
    <t>TTL</t>
  </si>
  <si>
    <t xml:space="preserve">STYLE NAME </t>
  </si>
  <si>
    <t>SUMMARY</t>
  </si>
  <si>
    <t>RATE</t>
  </si>
  <si>
    <t>NAMES</t>
  </si>
  <si>
    <t>AMT</t>
  </si>
  <si>
    <t>RAMESH</t>
  </si>
  <si>
    <t>SAMPLE</t>
  </si>
  <si>
    <t>OT AMT</t>
  </si>
  <si>
    <t>NET AMT</t>
  </si>
  <si>
    <t>DIFF</t>
  </si>
  <si>
    <t>BILL QTY</t>
  </si>
  <si>
    <t>DISPATCH QTY</t>
  </si>
  <si>
    <t>adv</t>
  </si>
  <si>
    <t>WASHER</t>
  </si>
  <si>
    <t>LATHA</t>
  </si>
  <si>
    <t>Beneficiary_Name</t>
  </si>
  <si>
    <t>MEENAKSHMI M</t>
  </si>
  <si>
    <t>RUKMINI</t>
  </si>
  <si>
    <t>ANJALI DEVI D</t>
  </si>
  <si>
    <t xml:space="preserve">NARAYANA </t>
  </si>
  <si>
    <t xml:space="preserve">SREEDEVI </t>
  </si>
  <si>
    <t>RENUKA G</t>
  </si>
  <si>
    <t xml:space="preserve">VARADARAJU G </t>
  </si>
  <si>
    <t>K BHARATHI</t>
  </si>
  <si>
    <t>SHAKUNTHALA S A</t>
  </si>
  <si>
    <t>MAHESH J M</t>
  </si>
  <si>
    <t>RANGA SWAMY</t>
  </si>
  <si>
    <t>KARIYAPPA</t>
  </si>
  <si>
    <t>MUTHARAYA SWAMI</t>
  </si>
  <si>
    <t>C THIMMARAJU</t>
  </si>
  <si>
    <t>MANJUNATHA B D</t>
  </si>
  <si>
    <t>G BOJANNA</t>
  </si>
  <si>
    <t>MEENA S H</t>
  </si>
  <si>
    <t>KUMAR M</t>
  </si>
  <si>
    <t xml:space="preserve">PUTTARAME GOWDA </t>
  </si>
  <si>
    <t>SL.NO.</t>
  </si>
  <si>
    <t>SUJHATHA C</t>
  </si>
  <si>
    <t>BALANCE</t>
  </si>
  <si>
    <t>KAVITHA</t>
  </si>
  <si>
    <t>NET TO PAY</t>
  </si>
  <si>
    <t>LEATHER - YOGESH</t>
  </si>
  <si>
    <t>LEATHER -YOGESH</t>
  </si>
  <si>
    <t>KUMARSWAMY D N</t>
  </si>
  <si>
    <t>GANGA H</t>
  </si>
  <si>
    <t>CHAITRA KR</t>
  </si>
  <si>
    <t>RATHAMMA</t>
  </si>
  <si>
    <t>SUMA</t>
  </si>
  <si>
    <t>code</t>
  </si>
  <si>
    <t>MANJULA M</t>
  </si>
  <si>
    <t>IRON - YOGI</t>
  </si>
  <si>
    <t>KUMAR K N</t>
  </si>
  <si>
    <t>REKHA</t>
  </si>
  <si>
    <t>SATHISHA</t>
  </si>
  <si>
    <t>BATCH</t>
  </si>
  <si>
    <t>CHINNAMA</t>
  </si>
  <si>
    <t>IRON - NARSAPA</t>
  </si>
  <si>
    <t>ADVANCE</t>
  </si>
  <si>
    <t xml:space="preserve">BILL AMOUNT </t>
  </si>
  <si>
    <t>MANJULA.A</t>
  </si>
  <si>
    <t>MANJULA D</t>
  </si>
  <si>
    <t xml:space="preserve"> ASHWINI</t>
  </si>
  <si>
    <t xml:space="preserve"> ROOPA ZIP </t>
  </si>
  <si>
    <t xml:space="preserve"> PREMA B V </t>
  </si>
  <si>
    <t xml:space="preserve"> RADHA</t>
  </si>
  <si>
    <t>SUJATHA</t>
  </si>
  <si>
    <t>ROOPA SUNITHA</t>
  </si>
  <si>
    <t>ARUNA/ANITHA</t>
  </si>
  <si>
    <t>SONALI</t>
  </si>
  <si>
    <t xml:space="preserve">NAVEEN KUMAR </t>
  </si>
  <si>
    <t xml:space="preserve">ESI &amp; PF DEDUCTION </t>
  </si>
  <si>
    <t>NET PAY</t>
  </si>
  <si>
    <t>SHASHIKALA</t>
  </si>
  <si>
    <t>STITCHING</t>
  </si>
  <si>
    <t>MAHI</t>
  </si>
  <si>
    <t>MYINA</t>
  </si>
  <si>
    <t>SANMATHI KUMAR</t>
  </si>
  <si>
    <t>25BJN56541</t>
  </si>
  <si>
    <t>FC PCS WORK FOR THE MONTH OF FEB 2025 PAYABLE IN MARCH 2025</t>
  </si>
  <si>
    <t>FC PCS WORK FOR THE MONTH OF FEB 2025 PAYABLE IN MARCH2025</t>
  </si>
  <si>
    <t>PRODUCTION PCS WORK FOR THE MONTH OF FEB 2025 PAYABLE IN MARCH 2025</t>
  </si>
  <si>
    <t>BT WORK FOR THE MONTH OF FEB 2025  PAYABLE IN MARCH  2025</t>
  </si>
  <si>
    <t>BASICS -57189/56544/56540/56158</t>
  </si>
  <si>
    <t>FORCA</t>
  </si>
  <si>
    <t>M/C 811361 BLUE/361 GREAY/811323</t>
  </si>
  <si>
    <t>L/P 0016085</t>
  </si>
  <si>
    <t>MUFTI DENIM 33652/33660</t>
  </si>
  <si>
    <t>DURBY DARK GREAY/LYT GREAY</t>
  </si>
  <si>
    <t>R/R SOMINIM/REID</t>
  </si>
  <si>
    <t>DURBY DARK GREY/LT GREY</t>
  </si>
  <si>
    <t>BASICS - 56160/187/189/544/540</t>
  </si>
  <si>
    <t>RE IRON - BASICS</t>
  </si>
  <si>
    <t>METER</t>
  </si>
  <si>
    <t>R/R SOMINIM / REID</t>
  </si>
  <si>
    <t>MUFTI DENIM  / MC - BADGE</t>
  </si>
  <si>
    <t>BASICS 57188/57189/160/187</t>
  </si>
  <si>
    <t>BHANU</t>
  </si>
  <si>
    <t xml:space="preserve">RR - CRUZ </t>
  </si>
  <si>
    <t xml:space="preserve">FORCA </t>
  </si>
  <si>
    <t>MC -811361 BLUE&amp; GREY / 811323</t>
  </si>
  <si>
    <t>MFT -33652/33660</t>
  </si>
  <si>
    <t xml:space="preserve">LP - </t>
  </si>
  <si>
    <t>BASICS - 57189/544/540/158</t>
  </si>
  <si>
    <t>RR - SOMMINEM/ REID</t>
  </si>
  <si>
    <t>LP</t>
  </si>
  <si>
    <t>MUFTI 33652/33660</t>
  </si>
  <si>
    <t>DERBY- LT &amp; DARK GREY</t>
  </si>
  <si>
    <t>25BJN56542</t>
  </si>
  <si>
    <t>MAC LT GREY (FORCA)</t>
  </si>
  <si>
    <t>25BJN56543</t>
  </si>
  <si>
    <t>25BJN56157</t>
  </si>
  <si>
    <t>GLOBUS GREY RFD</t>
  </si>
  <si>
    <t>R/R REID</t>
  </si>
  <si>
    <t>25BJN56556</t>
  </si>
  <si>
    <t>DERBY RAMPUR</t>
  </si>
  <si>
    <t>USPA (260/260)</t>
  </si>
  <si>
    <t>KGJUN16 (KIDS)</t>
  </si>
  <si>
    <t>25BJN56158</t>
  </si>
  <si>
    <t>25BJN56155</t>
  </si>
  <si>
    <t>25BJN56148</t>
  </si>
  <si>
    <t>DURBY RAMPUR</t>
  </si>
  <si>
    <t>MANJULA(KARIPPA)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</si>
</sst>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7" formatCode="[$-F800]dddd\,\ mmmm\ dd\,\ yyyy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Arial Unicode MS"/>
      <family val="2"/>
    </font>
    <font>
      <sz val="10"/>
      <name val="Arial"/>
      <family val="2"/>
    </font>
    <font>
      <sz val="2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Arial Unicode MS"/>
      <family val="2"/>
    </font>
    <font>
      <sz val="18"/>
      <color theme="1"/>
      <name val="Arial Unicode MS"/>
      <family val="2"/>
    </font>
    <font>
      <b/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Arial Unicode MS"/>
      <family val="2"/>
    </font>
    <font>
      <sz val="22"/>
      <color theme="1"/>
      <name val="Arial Unicode MS"/>
      <family val="2"/>
    </font>
    <font>
      <b/>
      <sz val="2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4"/>
      <color indexed="10"/>
      <name val="Arial"/>
      <family val="2"/>
    </font>
    <font>
      <sz val="14"/>
      <color theme="1"/>
      <name val="Arial"/>
      <family val="2"/>
    </font>
    <font>
      <b/>
      <sz val="12"/>
      <color indexed="10"/>
      <name val="Arial"/>
      <family val="2"/>
    </font>
    <font>
      <sz val="16"/>
      <color theme="1"/>
      <name val="Arial"/>
      <family val="2"/>
    </font>
    <font>
      <sz val="16"/>
      <name val="Arial"/>
      <family val="2"/>
    </font>
    <font>
      <b/>
      <sz val="11"/>
      <color rgb="FF101010"/>
      <name val="Roboto-regular"/>
    </font>
    <font>
      <b/>
      <sz val="10"/>
      <color rgb="FF6F6F6F"/>
      <name val="Roboto-regular"/>
    </font>
    <font>
      <b/>
      <sz val="22"/>
      <color theme="1"/>
      <name val="Arial"/>
      <family val="2"/>
    </font>
    <font>
      <sz val="22"/>
      <color theme="1"/>
      <name val="Arial"/>
      <family val="2"/>
    </font>
    <font>
      <sz val="2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Arial Unicode MS"/>
      <family val="2"/>
    </font>
    <font>
      <sz val="24"/>
      <color theme="1"/>
      <name val="Arial"/>
      <family val="2"/>
    </font>
    <font>
      <b/>
      <sz val="24"/>
      <color theme="1"/>
      <name val="Arial"/>
      <family val="2"/>
    </font>
    <font>
      <sz val="24"/>
      <color rgb="FFFF0000"/>
      <name val="Arial"/>
      <family val="2"/>
    </font>
    <font>
      <b/>
      <sz val="28"/>
      <color theme="1"/>
      <name val="Arial Unicode MS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23" fillId="11" borderId="0" applyNumberFormat="0" applyBorder="0" applyAlignment="0" applyProtection="0"/>
  </cellStyleXfs>
  <cellXfs count="22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164" fontId="0" fillId="0" borderId="0" xfId="1" applyFont="1"/>
    <xf numFmtId="0" fontId="7" fillId="0" borderId="0" xfId="0" applyFont="1" applyAlignment="1">
      <alignment horizontal="center"/>
    </xf>
    <xf numFmtId="164" fontId="0" fillId="0" borderId="0" xfId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6" xfId="0" applyBorder="1"/>
    <xf numFmtId="165" fontId="13" fillId="0" borderId="1" xfId="0" applyNumberFormat="1" applyFont="1" applyBorder="1"/>
    <xf numFmtId="0" fontId="13" fillId="0" borderId="1" xfId="0" applyFont="1" applyBorder="1" applyAlignment="1">
      <alignment horizontal="center"/>
    </xf>
    <xf numFmtId="1" fontId="12" fillId="0" borderId="0" xfId="0" applyNumberFormat="1" applyFont="1" applyAlignment="1">
      <alignment horizontal="center" vertical="center"/>
    </xf>
    <xf numFmtId="0" fontId="12" fillId="0" borderId="0" xfId="0" applyFont="1"/>
    <xf numFmtId="0" fontId="4" fillId="4" borderId="1" xfId="0" applyFont="1" applyFill="1" applyBorder="1" applyAlignment="1">
      <alignment horizontal="center" vertical="center"/>
    </xf>
    <xf numFmtId="164" fontId="4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5" fillId="0" borderId="0" xfId="0" applyFont="1"/>
    <xf numFmtId="0" fontId="17" fillId="3" borderId="1" xfId="0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2" fillId="3" borderId="1" xfId="1" applyFont="1" applyFill="1" applyBorder="1" applyAlignment="1">
      <alignment horizontal="center"/>
    </xf>
    <xf numFmtId="164" fontId="0" fillId="3" borderId="1" xfId="1" applyFont="1" applyFill="1" applyBorder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/>
    </xf>
    <xf numFmtId="0" fontId="19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/>
    </xf>
    <xf numFmtId="164" fontId="20" fillId="0" borderId="1" xfId="1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 wrapText="1"/>
    </xf>
    <xf numFmtId="0" fontId="20" fillId="5" borderId="1" xfId="0" applyFont="1" applyFill="1" applyBorder="1" applyAlignment="1">
      <alignment horizontal="center"/>
    </xf>
    <xf numFmtId="164" fontId="19" fillId="5" borderId="1" xfId="1" applyFont="1" applyFill="1" applyBorder="1" applyAlignment="1">
      <alignment horizontal="center"/>
    </xf>
    <xf numFmtId="164" fontId="19" fillId="0" borderId="1" xfId="1" applyFont="1" applyFill="1" applyBorder="1" applyAlignment="1">
      <alignment horizontal="center"/>
    </xf>
    <xf numFmtId="0" fontId="18" fillId="0" borderId="1" xfId="0" applyFont="1" applyBorder="1"/>
    <xf numFmtId="164" fontId="19" fillId="3" borderId="1" xfId="1" applyFont="1" applyFill="1" applyBorder="1" applyAlignment="1">
      <alignment horizontal="center" vertical="center" wrapText="1"/>
    </xf>
    <xf numFmtId="164" fontId="20" fillId="0" borderId="1" xfId="0" applyNumberFormat="1" applyFont="1" applyBorder="1" applyAlignment="1">
      <alignment horizontal="center"/>
    </xf>
    <xf numFmtId="165" fontId="20" fillId="0" borderId="1" xfId="0" applyNumberFormat="1" applyFont="1" applyBorder="1" applyAlignment="1">
      <alignment horizontal="center"/>
    </xf>
    <xf numFmtId="164" fontId="20" fillId="0" borderId="1" xfId="1" applyFont="1" applyFill="1" applyBorder="1" applyAlignment="1"/>
    <xf numFmtId="164" fontId="11" fillId="0" borderId="1" xfId="0" applyNumberFormat="1" applyFont="1" applyBorder="1" applyAlignment="1">
      <alignment horizontal="center"/>
    </xf>
    <xf numFmtId="164" fontId="2" fillId="0" borderId="1" xfId="1" applyFont="1" applyFill="1" applyBorder="1" applyAlignment="1">
      <alignment horizontal="center" vertical="center"/>
    </xf>
    <xf numFmtId="164" fontId="11" fillId="0" borderId="0" xfId="1" applyFont="1" applyFill="1" applyBorder="1" applyAlignment="1">
      <alignment vertical="center"/>
    </xf>
    <xf numFmtId="165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164" fontId="5" fillId="0" borderId="1" xfId="1" applyFont="1" applyBorder="1" applyAlignment="1">
      <alignment horizontal="center"/>
    </xf>
    <xf numFmtId="164" fontId="13" fillId="0" borderId="1" xfId="1" applyFont="1" applyBorder="1" applyAlignment="1">
      <alignment horizontal="center"/>
    </xf>
    <xf numFmtId="164" fontId="5" fillId="3" borderId="1" xfId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164" fontId="2" fillId="5" borderId="1" xfId="1" applyFont="1" applyFill="1" applyBorder="1" applyAlignment="1">
      <alignment horizontal="center" vertical="center"/>
    </xf>
    <xf numFmtId="164" fontId="2" fillId="10" borderId="1" xfId="1" applyFont="1" applyFill="1" applyBorder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2" fillId="3" borderId="1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64" fontId="2" fillId="8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horizontal="center" vertical="center"/>
    </xf>
    <xf numFmtId="164" fontId="2" fillId="3" borderId="1" xfId="1" applyFont="1" applyFill="1" applyBorder="1" applyAlignment="1">
      <alignment vertical="center"/>
    </xf>
    <xf numFmtId="0" fontId="12" fillId="0" borderId="0" xfId="0" applyFont="1" applyAlignment="1">
      <alignment horizontal="center"/>
    </xf>
    <xf numFmtId="0" fontId="28" fillId="0" borderId="1" xfId="2" applyFont="1" applyFill="1" applyBorder="1"/>
    <xf numFmtId="164" fontId="3" fillId="0" borderId="0" xfId="1" applyFont="1" applyAlignment="1">
      <alignment horizontal="right"/>
    </xf>
    <xf numFmtId="2" fontId="15" fillId="0" borderId="0" xfId="0" applyNumberFormat="1" applyFont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0" fontId="28" fillId="0" borderId="1" xfId="3" applyFont="1" applyFill="1" applyBorder="1"/>
    <xf numFmtId="43" fontId="18" fillId="0" borderId="1" xfId="0" applyNumberFormat="1" applyFont="1" applyBorder="1" applyAlignment="1">
      <alignment horizontal="center"/>
    </xf>
    <xf numFmtId="0" fontId="2" fillId="9" borderId="0" xfId="0" applyFont="1" applyFill="1" applyBorder="1" applyAlignment="1">
      <alignment horizontal="center" vertical="center"/>
    </xf>
    <xf numFmtId="164" fontId="2" fillId="9" borderId="0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64" fontId="2" fillId="0" borderId="0" xfId="1" applyFont="1" applyFill="1" applyBorder="1" applyAlignment="1">
      <alignment vertical="center"/>
    </xf>
    <xf numFmtId="164" fontId="2" fillId="0" borderId="0" xfId="1" applyFont="1" applyFill="1" applyBorder="1" applyAlignment="1">
      <alignment horizontal="center" vertical="center"/>
    </xf>
    <xf numFmtId="0" fontId="28" fillId="0" borderId="1" xfId="0" applyFont="1" applyFill="1" applyBorder="1"/>
    <xf numFmtId="0" fontId="27" fillId="0" borderId="1" xfId="0" applyFont="1" applyFill="1" applyBorder="1"/>
    <xf numFmtId="0" fontId="6" fillId="0" borderId="1" xfId="0" applyFont="1" applyFill="1" applyBorder="1"/>
    <xf numFmtId="0" fontId="26" fillId="5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/>
    </xf>
    <xf numFmtId="164" fontId="24" fillId="5" borderId="1" xfId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/>
    </xf>
    <xf numFmtId="164" fontId="18" fillId="0" borderId="1" xfId="0" applyNumberFormat="1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0" fontId="25" fillId="0" borderId="1" xfId="0" applyFont="1" applyFill="1" applyBorder="1"/>
    <xf numFmtId="164" fontId="16" fillId="0" borderId="1" xfId="1" applyFont="1" applyFill="1" applyBorder="1" applyAlignment="1">
      <alignment horizontal="center"/>
    </xf>
    <xf numFmtId="0" fontId="17" fillId="0" borderId="1" xfId="0" applyFont="1" applyFill="1" applyBorder="1" applyAlignment="1">
      <alignment horizontal="center"/>
    </xf>
    <xf numFmtId="164" fontId="16" fillId="0" borderId="1" xfId="0" applyNumberFormat="1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wrapText="1"/>
    </xf>
    <xf numFmtId="0" fontId="19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0" borderId="0" xfId="0" applyFill="1"/>
    <xf numFmtId="0" fontId="2" fillId="0" borderId="0" xfId="0" applyFont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/>
    </xf>
    <xf numFmtId="164" fontId="20" fillId="9" borderId="1" xfId="1" applyFont="1" applyFill="1" applyBorder="1" applyAlignment="1">
      <alignment horizontal="center"/>
    </xf>
    <xf numFmtId="0" fontId="34" fillId="0" borderId="0" xfId="0" applyFont="1" applyFill="1"/>
    <xf numFmtId="167" fontId="24" fillId="5" borderId="1" xfId="1" applyNumberFormat="1" applyFont="1" applyFill="1" applyBorder="1" applyAlignment="1">
      <alignment horizontal="center" vertical="center"/>
    </xf>
    <xf numFmtId="0" fontId="24" fillId="8" borderId="1" xfId="0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64" fontId="17" fillId="0" borderId="1" xfId="1" applyFont="1" applyFill="1" applyBorder="1" applyAlignment="1">
      <alignment horizontal="center"/>
    </xf>
    <xf numFmtId="164" fontId="35" fillId="0" borderId="1" xfId="1" applyFont="1" applyFill="1" applyBorder="1" applyAlignment="1">
      <alignment horizontal="center"/>
    </xf>
    <xf numFmtId="0" fontId="35" fillId="0" borderId="1" xfId="0" applyFont="1" applyFill="1" applyBorder="1" applyAlignment="1">
      <alignment horizontal="center"/>
    </xf>
    <xf numFmtId="164" fontId="36" fillId="0" borderId="1" xfId="1" applyFont="1" applyFill="1" applyBorder="1" applyAlignment="1">
      <alignment horizontal="center"/>
    </xf>
    <xf numFmtId="2" fontId="17" fillId="0" borderId="1" xfId="0" applyNumberFormat="1" applyFont="1" applyFill="1" applyBorder="1" applyAlignment="1">
      <alignment horizontal="center"/>
    </xf>
    <xf numFmtId="2" fontId="33" fillId="0" borderId="1" xfId="0" applyNumberFormat="1" applyFont="1" applyFill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0" fontId="0" fillId="0" borderId="0" xfId="0" applyFill="1" applyBorder="1"/>
    <xf numFmtId="165" fontId="20" fillId="0" borderId="1" xfId="1" applyNumberFormat="1" applyFont="1" applyFill="1" applyBorder="1" applyAlignment="1">
      <alignment horizontal="center"/>
    </xf>
    <xf numFmtId="165" fontId="13" fillId="0" borderId="1" xfId="1" applyNumberFormat="1" applyFont="1" applyBorder="1" applyAlignment="1">
      <alignment horizontal="center"/>
    </xf>
    <xf numFmtId="165" fontId="13" fillId="0" borderId="1" xfId="1" applyNumberFormat="1" applyFont="1" applyFill="1" applyBorder="1" applyAlignment="1">
      <alignment horizontal="center"/>
    </xf>
    <xf numFmtId="165" fontId="3" fillId="0" borderId="1" xfId="1" applyNumberFormat="1" applyFont="1" applyFill="1" applyBorder="1" applyAlignment="1">
      <alignment horizontal="right"/>
    </xf>
    <xf numFmtId="165" fontId="3" fillId="0" borderId="1" xfId="1" applyNumberFormat="1" applyFont="1" applyFill="1" applyBorder="1"/>
    <xf numFmtId="0" fontId="28" fillId="10" borderId="1" xfId="0" applyFont="1" applyFill="1" applyBorder="1"/>
    <xf numFmtId="0" fontId="27" fillId="10" borderId="1" xfId="3" applyFont="1" applyFill="1" applyBorder="1"/>
    <xf numFmtId="0" fontId="28" fillId="10" borderId="1" xfId="2" applyFont="1" applyFill="1" applyBorder="1"/>
    <xf numFmtId="0" fontId="27" fillId="10" borderId="1" xfId="0" applyFont="1" applyFill="1" applyBorder="1"/>
    <xf numFmtId="0" fontId="24" fillId="5" borderId="1" xfId="0" applyFont="1" applyFill="1" applyBorder="1" applyAlignment="1">
      <alignment horizontal="center" vertical="center" wrapText="1"/>
    </xf>
    <xf numFmtId="0" fontId="27" fillId="0" borderId="0" xfId="0" applyFont="1" applyFill="1" applyBorder="1"/>
    <xf numFmtId="0" fontId="28" fillId="0" borderId="0" xfId="0" applyFont="1" applyFill="1"/>
    <xf numFmtId="164" fontId="17" fillId="0" borderId="1" xfId="1" applyNumberFormat="1" applyFont="1" applyFill="1" applyBorder="1" applyAlignment="1">
      <alignment horizontal="right"/>
    </xf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43" fontId="12" fillId="0" borderId="0" xfId="0" applyNumberFormat="1" applyFont="1" applyAlignment="1">
      <alignment horizontal="center"/>
    </xf>
    <xf numFmtId="0" fontId="37" fillId="9" borderId="1" xfId="0" applyFont="1" applyFill="1" applyBorder="1" applyAlignment="1">
      <alignment horizontal="center" vertical="center"/>
    </xf>
    <xf numFmtId="0" fontId="37" fillId="0" borderId="1" xfId="0" applyFont="1" applyFill="1" applyBorder="1" applyAlignment="1">
      <alignment horizontal="center" vertical="center"/>
    </xf>
    <xf numFmtId="2" fontId="37" fillId="0" borderId="1" xfId="0" applyNumberFormat="1" applyFont="1" applyFill="1" applyBorder="1" applyAlignment="1">
      <alignment horizontal="center" vertical="center"/>
    </xf>
    <xf numFmtId="164" fontId="38" fillId="0" borderId="1" xfId="1" applyFont="1" applyFill="1" applyBorder="1" applyAlignment="1">
      <alignment horizontal="center" vertical="center"/>
    </xf>
    <xf numFmtId="0" fontId="38" fillId="0" borderId="1" xfId="0" applyFont="1" applyFill="1" applyBorder="1" applyAlignment="1">
      <alignment horizontal="center"/>
    </xf>
    <xf numFmtId="2" fontId="38" fillId="0" borderId="1" xfId="0" applyNumberFormat="1" applyFont="1" applyFill="1" applyBorder="1" applyAlignment="1">
      <alignment horizontal="center"/>
    </xf>
    <xf numFmtId="164" fontId="38" fillId="0" borderId="1" xfId="1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2" fontId="37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/>
    </xf>
    <xf numFmtId="2" fontId="38" fillId="0" borderId="1" xfId="0" applyNumberFormat="1" applyFont="1" applyBorder="1" applyAlignment="1">
      <alignment horizontal="center"/>
    </xf>
    <xf numFmtId="2" fontId="37" fillId="9" borderId="1" xfId="0" applyNumberFormat="1" applyFont="1" applyFill="1" applyBorder="1" applyAlignment="1">
      <alignment horizontal="center" vertical="center"/>
    </xf>
    <xf numFmtId="0" fontId="38" fillId="9" borderId="1" xfId="0" applyFont="1" applyFill="1" applyBorder="1" applyAlignment="1">
      <alignment horizontal="center"/>
    </xf>
    <xf numFmtId="2" fontId="38" fillId="9" borderId="1" xfId="0" applyNumberFormat="1" applyFont="1" applyFill="1" applyBorder="1" applyAlignment="1">
      <alignment horizontal="center"/>
    </xf>
    <xf numFmtId="2" fontId="39" fillId="9" borderId="1" xfId="0" applyNumberFormat="1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164" fontId="38" fillId="10" borderId="1" xfId="1" applyFont="1" applyFill="1" applyBorder="1" applyAlignment="1">
      <alignment horizontal="center"/>
    </xf>
    <xf numFmtId="0" fontId="38" fillId="10" borderId="1" xfId="0" applyFont="1" applyFill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164" fontId="21" fillId="3" borderId="1" xfId="1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8" fillId="3" borderId="1" xfId="0" applyFont="1" applyFill="1" applyBorder="1" applyAlignment="1">
      <alignment horizontal="center" vertical="center"/>
    </xf>
    <xf numFmtId="2" fontId="37" fillId="0" borderId="0" xfId="0" applyNumberFormat="1" applyFont="1" applyAlignment="1">
      <alignment horizontal="center"/>
    </xf>
    <xf numFmtId="164" fontId="38" fillId="0" borderId="0" xfId="1" applyFont="1" applyAlignment="1">
      <alignment horizontal="center"/>
    </xf>
    <xf numFmtId="0" fontId="37" fillId="0" borderId="0" xfId="0" applyFont="1"/>
    <xf numFmtId="164" fontId="37" fillId="10" borderId="1" xfId="0" applyNumberFormat="1" applyFont="1" applyFill="1" applyBorder="1" applyAlignment="1">
      <alignment horizontal="center" vertical="center"/>
    </xf>
    <xf numFmtId="164" fontId="3" fillId="9" borderId="1" xfId="1" applyFont="1" applyFill="1" applyBorder="1"/>
    <xf numFmtId="0" fontId="25" fillId="10" borderId="1" xfId="0" applyFont="1" applyFill="1" applyBorder="1"/>
    <xf numFmtId="0" fontId="0" fillId="0" borderId="0" xfId="0" applyBorder="1"/>
    <xf numFmtId="165" fontId="3" fillId="0" borderId="0" xfId="1" applyNumberFormat="1" applyFont="1" applyFill="1" applyBorder="1"/>
    <xf numFmtId="164" fontId="4" fillId="0" borderId="0" xfId="1" applyFont="1" applyBorder="1" applyAlignment="1">
      <alignment horizontal="right"/>
    </xf>
    <xf numFmtId="164" fontId="20" fillId="8" borderId="1" xfId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Fill="1" applyBorder="1" applyAlignment="1">
      <alignment horizontal="center" vertical="center" wrapText="1"/>
    </xf>
    <xf numFmtId="43" fontId="2" fillId="8" borderId="1" xfId="0" applyNumberFormat="1" applyFont="1" applyFill="1" applyBorder="1" applyAlignment="1">
      <alignment horizontal="center"/>
    </xf>
    <xf numFmtId="0" fontId="3" fillId="0" borderId="0" xfId="0" applyFont="1" applyBorder="1"/>
    <xf numFmtId="164" fontId="3" fillId="0" borderId="0" xfId="1" applyFont="1" applyBorder="1"/>
    <xf numFmtId="164" fontId="3" fillId="0" borderId="0" xfId="0" applyNumberFormat="1" applyFont="1" applyBorder="1"/>
    <xf numFmtId="164" fontId="3" fillId="0" borderId="0" xfId="1" applyFont="1" applyBorder="1" applyAlignment="1">
      <alignment horizontal="right"/>
    </xf>
    <xf numFmtId="0" fontId="17" fillId="9" borderId="1" xfId="0" applyFont="1" applyFill="1" applyBorder="1" applyAlignment="1">
      <alignment horizontal="center" vertical="center"/>
    </xf>
    <xf numFmtId="164" fontId="18" fillId="9" borderId="1" xfId="0" applyNumberFormat="1" applyFont="1" applyFill="1" applyBorder="1" applyAlignment="1">
      <alignment horizontal="center"/>
    </xf>
    <xf numFmtId="164" fontId="38" fillId="9" borderId="1" xfId="1" applyFont="1" applyFill="1" applyBorder="1" applyAlignment="1">
      <alignment horizontal="center" vertical="center"/>
    </xf>
    <xf numFmtId="0" fontId="13" fillId="0" borderId="1" xfId="0" applyFont="1" applyFill="1" applyBorder="1"/>
    <xf numFmtId="164" fontId="4" fillId="0" borderId="1" xfId="1" applyFont="1" applyFill="1" applyBorder="1" applyAlignment="1">
      <alignment horizontal="right"/>
    </xf>
    <xf numFmtId="164" fontId="4" fillId="0" borderId="0" xfId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43" fontId="22" fillId="0" borderId="0" xfId="0" applyNumberFormat="1" applyFont="1" applyAlignment="1">
      <alignment horizontal="center"/>
    </xf>
    <xf numFmtId="0" fontId="13" fillId="10" borderId="1" xfId="0" applyFont="1" applyFill="1" applyBorder="1" applyAlignment="1">
      <alignment horizontal="center"/>
    </xf>
    <xf numFmtId="165" fontId="13" fillId="10" borderId="1" xfId="0" applyNumberFormat="1" applyFont="1" applyFill="1" applyBorder="1"/>
    <xf numFmtId="165" fontId="13" fillId="10" borderId="1" xfId="0" applyNumberFormat="1" applyFont="1" applyFill="1" applyBorder="1" applyAlignment="1">
      <alignment horizontal="center"/>
    </xf>
    <xf numFmtId="165" fontId="13" fillId="10" borderId="1" xfId="1" applyNumberFormat="1" applyFont="1" applyFill="1" applyBorder="1" applyAlignment="1">
      <alignment horizontal="center"/>
    </xf>
    <xf numFmtId="165" fontId="3" fillId="12" borderId="1" xfId="1" applyNumberFormat="1" applyFont="1" applyFill="1" applyBorder="1"/>
    <xf numFmtId="0" fontId="39" fillId="9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164" fontId="4" fillId="12" borderId="1" xfId="1" applyFont="1" applyFill="1" applyBorder="1" applyAlignment="1">
      <alignment horizontal="right"/>
    </xf>
    <xf numFmtId="164" fontId="4" fillId="12" borderId="0" xfId="1" applyFont="1" applyFill="1" applyBorder="1" applyAlignment="1">
      <alignment horizontal="right"/>
    </xf>
    <xf numFmtId="165" fontId="35" fillId="10" borderId="1" xfId="0" applyNumberFormat="1" applyFont="1" applyFill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43" fontId="18" fillId="0" borderId="1" xfId="0" applyNumberFormat="1" applyFont="1" applyBorder="1" applyAlignment="1">
      <alignment horizontal="center" vertical="center"/>
    </xf>
    <xf numFmtId="0" fontId="11" fillId="13" borderId="1" xfId="0" applyFont="1" applyFill="1" applyBorder="1" applyAlignment="1">
      <alignment vertical="center"/>
    </xf>
    <xf numFmtId="164" fontId="13" fillId="10" borderId="1" xfId="0" applyNumberFormat="1" applyFont="1" applyFill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4" fontId="18" fillId="0" borderId="1" xfId="1" applyFont="1" applyBorder="1" applyAlignment="1">
      <alignment horizontal="center" vertical="center"/>
    </xf>
    <xf numFmtId="164" fontId="3" fillId="0" borderId="1" xfId="1" applyFont="1" applyFill="1" applyBorder="1"/>
    <xf numFmtId="0" fontId="21" fillId="6" borderId="1" xfId="0" applyFont="1" applyFill="1" applyBorder="1" applyAlignment="1">
      <alignment horizontal="center"/>
    </xf>
    <xf numFmtId="0" fontId="19" fillId="5" borderId="1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6" borderId="0" xfId="0" applyFont="1" applyFill="1" applyAlignment="1">
      <alignment horizontal="center"/>
    </xf>
    <xf numFmtId="0" fontId="40" fillId="0" borderId="2" xfId="0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</cellXfs>
  <cellStyles count="4">
    <cellStyle name="Comma" xfId="1" builtinId="3"/>
    <cellStyle name="Good" xfId="3" builtinId="26"/>
    <cellStyle name="Normal" xfId="0" builtinId="0"/>
    <cellStyle name="Normal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T42"/>
  <sheetViews>
    <sheetView tabSelected="1" zoomScale="55" zoomScaleNormal="55" zoomScaleSheetLayoutView="10" workbookViewId="0">
      <selection activeCell="A43" sqref="A43:XFD64"/>
    </sheetView>
  </sheetViews>
  <sheetFormatPr defaultRowHeight="15"/>
  <cols>
    <col min="1" max="1" width="5.42578125" customWidth="1"/>
    <col min="2" max="2" width="70.7109375" customWidth="1"/>
    <col min="3" max="3" width="24.85546875" bestFit="1" customWidth="1"/>
    <col min="4" max="4" width="15" customWidth="1"/>
    <col min="5" max="5" width="27.140625" bestFit="1" customWidth="1"/>
    <col min="6" max="6" width="30.85546875" bestFit="1" customWidth="1"/>
    <col min="7" max="7" width="33.5703125" customWidth="1"/>
    <col min="8" max="8" width="36.28515625" bestFit="1" customWidth="1"/>
    <col min="9" max="9" width="34.42578125" bestFit="1" customWidth="1"/>
    <col min="10" max="10" width="23.85546875" customWidth="1"/>
    <col min="11" max="11" width="45.140625" customWidth="1"/>
    <col min="12" max="12" width="37.28515625" bestFit="1" customWidth="1"/>
    <col min="13" max="13" width="14.5703125" customWidth="1"/>
    <col min="14" max="14" width="18.7109375" bestFit="1" customWidth="1"/>
    <col min="15" max="15" width="28.42578125" customWidth="1"/>
    <col min="16" max="16" width="36.28515625" customWidth="1"/>
    <col min="17" max="17" width="44" bestFit="1" customWidth="1"/>
    <col min="18" max="18" width="65.7109375" customWidth="1"/>
    <col min="19" max="19" width="19.42578125" customWidth="1"/>
    <col min="20" max="20" width="18" customWidth="1"/>
  </cols>
  <sheetData>
    <row r="3" spans="1:12" s="2" customFormat="1" ht="36">
      <c r="A3" s="22"/>
      <c r="B3" s="209" t="s">
        <v>101</v>
      </c>
      <c r="C3" s="209"/>
      <c r="D3" s="209"/>
      <c r="E3" s="209"/>
      <c r="F3" s="209"/>
      <c r="G3" s="209"/>
      <c r="H3" s="209"/>
      <c r="I3" s="209"/>
      <c r="J3" s="209"/>
      <c r="K3" s="209"/>
    </row>
    <row r="4" spans="1:12" s="2" customFormat="1" ht="30.75" customHeight="1">
      <c r="B4" s="218" t="s">
        <v>94</v>
      </c>
      <c r="C4" s="219"/>
      <c r="D4" s="219"/>
      <c r="E4" s="219"/>
      <c r="F4" s="219"/>
      <c r="G4" s="219"/>
      <c r="H4" s="219"/>
      <c r="I4" s="219"/>
      <c r="J4" s="219"/>
      <c r="K4" s="219"/>
    </row>
    <row r="5" spans="1:12" s="2" customFormat="1" ht="31.5" customHeight="1">
      <c r="B5" s="162" t="s">
        <v>0</v>
      </c>
      <c r="C5" s="162" t="s">
        <v>69</v>
      </c>
      <c r="D5" s="162"/>
      <c r="E5" s="162" t="s">
        <v>32</v>
      </c>
      <c r="F5" s="162" t="s">
        <v>11</v>
      </c>
      <c r="G5" s="163" t="s">
        <v>12</v>
      </c>
      <c r="H5" s="163" t="s">
        <v>33</v>
      </c>
      <c r="I5" s="163" t="s">
        <v>31</v>
      </c>
      <c r="J5" s="163" t="s">
        <v>19</v>
      </c>
      <c r="K5" s="164" t="s">
        <v>11</v>
      </c>
    </row>
    <row r="6" spans="1:12" s="2" customFormat="1" ht="39.950000000000003" customHeight="1">
      <c r="B6" s="144" t="s">
        <v>128</v>
      </c>
      <c r="C6" s="144"/>
      <c r="D6" s="155"/>
      <c r="E6" s="144">
        <v>1282</v>
      </c>
      <c r="F6" s="155">
        <v>43.8</v>
      </c>
      <c r="G6" s="147">
        <f t="shared" ref="G6:G16" si="0">E6*F6</f>
        <v>56151.6</v>
      </c>
      <c r="H6" s="156"/>
      <c r="I6" s="145">
        <f t="shared" ref="I6:I16" si="1">E6-H6</f>
        <v>1282</v>
      </c>
      <c r="J6" s="157"/>
      <c r="K6" s="150">
        <f t="shared" ref="K6:K19" si="2">E6*J6</f>
        <v>0</v>
      </c>
    </row>
    <row r="7" spans="1:12" s="2" customFormat="1" ht="39.950000000000003" customHeight="1">
      <c r="B7" s="144" t="s">
        <v>129</v>
      </c>
      <c r="C7" s="145"/>
      <c r="D7" s="145"/>
      <c r="E7" s="151">
        <v>1642</v>
      </c>
      <c r="F7" s="152">
        <v>43.8</v>
      </c>
      <c r="G7" s="147">
        <f t="shared" si="0"/>
        <v>71919.599999999991</v>
      </c>
      <c r="H7" s="153"/>
      <c r="I7" s="145">
        <f t="shared" si="1"/>
        <v>1642</v>
      </c>
      <c r="J7" s="154"/>
      <c r="K7" s="150">
        <f t="shared" si="2"/>
        <v>0</v>
      </c>
    </row>
    <row r="8" spans="1:12" s="2" customFormat="1" ht="39.950000000000003" customHeight="1">
      <c r="B8" s="144" t="s">
        <v>130</v>
      </c>
      <c r="C8" s="144"/>
      <c r="D8" s="144"/>
      <c r="E8" s="144">
        <v>1313</v>
      </c>
      <c r="F8" s="155">
        <v>45.1</v>
      </c>
      <c r="G8" s="147">
        <f>E8*F8</f>
        <v>59216.3</v>
      </c>
      <c r="H8" s="156"/>
      <c r="I8" s="145">
        <f>E8-H8</f>
        <v>1313</v>
      </c>
      <c r="J8" s="157"/>
      <c r="K8" s="150">
        <f t="shared" si="2"/>
        <v>0</v>
      </c>
    </row>
    <row r="9" spans="1:12" s="2" customFormat="1" ht="39.950000000000003" customHeight="1">
      <c r="B9" s="144" t="s">
        <v>131</v>
      </c>
      <c r="C9" s="144"/>
      <c r="D9" s="144"/>
      <c r="E9" s="144">
        <v>1309</v>
      </c>
      <c r="F9" s="155">
        <v>45.4</v>
      </c>
      <c r="G9" s="147">
        <f t="shared" si="0"/>
        <v>59428.6</v>
      </c>
      <c r="H9" s="156"/>
      <c r="I9" s="145">
        <f t="shared" si="1"/>
        <v>1309</v>
      </c>
      <c r="J9" s="157"/>
      <c r="K9" s="150">
        <f t="shared" si="2"/>
        <v>0</v>
      </c>
      <c r="L9" s="61"/>
    </row>
    <row r="10" spans="1:12" s="2" customFormat="1" ht="39.950000000000003" customHeight="1">
      <c r="B10" s="144" t="s">
        <v>132</v>
      </c>
      <c r="C10" s="144"/>
      <c r="D10" s="158"/>
      <c r="E10" s="144">
        <v>848</v>
      </c>
      <c r="F10" s="158">
        <v>39.700000000000003</v>
      </c>
      <c r="G10" s="147">
        <f t="shared" si="0"/>
        <v>33665.600000000006</v>
      </c>
      <c r="H10" s="156"/>
      <c r="I10" s="145">
        <f t="shared" si="1"/>
        <v>848</v>
      </c>
      <c r="J10" s="154"/>
      <c r="K10" s="150">
        <f t="shared" si="2"/>
        <v>0</v>
      </c>
      <c r="L10" s="61"/>
    </row>
    <row r="11" spans="1:12" s="2" customFormat="1" ht="39.950000000000003" customHeight="1">
      <c r="B11" s="144" t="s">
        <v>133</v>
      </c>
      <c r="C11" s="145"/>
      <c r="D11" s="145"/>
      <c r="E11" s="151">
        <v>1605</v>
      </c>
      <c r="F11" s="152">
        <v>55.3</v>
      </c>
      <c r="G11" s="147">
        <f t="shared" si="0"/>
        <v>88756.5</v>
      </c>
      <c r="H11" s="153"/>
      <c r="I11" s="145">
        <f t="shared" si="1"/>
        <v>1605</v>
      </c>
      <c r="J11" s="154"/>
      <c r="K11" s="150">
        <f t="shared" si="2"/>
        <v>0</v>
      </c>
      <c r="L11" s="61"/>
    </row>
    <row r="12" spans="1:12" s="2" customFormat="1" ht="39.950000000000003" customHeight="1">
      <c r="B12" s="144" t="s">
        <v>134</v>
      </c>
      <c r="C12" s="145"/>
      <c r="D12" s="145"/>
      <c r="E12" s="145">
        <v>1263</v>
      </c>
      <c r="F12" s="146">
        <v>46.3</v>
      </c>
      <c r="G12" s="147">
        <f t="shared" si="0"/>
        <v>58476.899999999994</v>
      </c>
      <c r="H12" s="148"/>
      <c r="I12" s="145">
        <f t="shared" si="1"/>
        <v>1263</v>
      </c>
      <c r="J12" s="149"/>
      <c r="K12" s="150">
        <f t="shared" si="2"/>
        <v>0</v>
      </c>
      <c r="L12" s="61"/>
    </row>
    <row r="13" spans="1:12" s="2" customFormat="1" ht="39.950000000000003" customHeight="1">
      <c r="B13" s="144" t="s">
        <v>135</v>
      </c>
      <c r="C13" s="145"/>
      <c r="D13" s="145"/>
      <c r="E13" s="151">
        <v>1269</v>
      </c>
      <c r="F13" s="152">
        <v>44.9</v>
      </c>
      <c r="G13" s="147">
        <f>E13*F13</f>
        <v>56978.1</v>
      </c>
      <c r="H13" s="153"/>
      <c r="I13" s="145">
        <f>E13-H13</f>
        <v>1269</v>
      </c>
      <c r="J13" s="154"/>
      <c r="K13" s="150">
        <f t="shared" si="2"/>
        <v>0</v>
      </c>
    </row>
    <row r="14" spans="1:12" s="2" customFormat="1" ht="39.950000000000003" customHeight="1">
      <c r="B14" s="144" t="s">
        <v>136</v>
      </c>
      <c r="C14" s="145"/>
      <c r="D14" s="145"/>
      <c r="E14" s="151">
        <v>520</v>
      </c>
      <c r="F14" s="152">
        <v>40.5</v>
      </c>
      <c r="G14" s="147">
        <f>E14*F14</f>
        <v>21060</v>
      </c>
      <c r="H14" s="153"/>
      <c r="I14" s="145">
        <f>E14-H14</f>
        <v>520</v>
      </c>
      <c r="J14" s="154"/>
      <c r="K14" s="150">
        <f t="shared" si="2"/>
        <v>0</v>
      </c>
    </row>
    <row r="15" spans="1:12" s="2" customFormat="1" ht="39.950000000000003" customHeight="1">
      <c r="B15" s="144" t="s">
        <v>137</v>
      </c>
      <c r="C15" s="144"/>
      <c r="D15" s="155"/>
      <c r="E15" s="144">
        <v>826</v>
      </c>
      <c r="F15" s="155">
        <v>61.8</v>
      </c>
      <c r="G15" s="186">
        <f t="shared" si="0"/>
        <v>51046.799999999996</v>
      </c>
      <c r="H15" s="156"/>
      <c r="I15" s="145">
        <f t="shared" si="1"/>
        <v>826</v>
      </c>
      <c r="J15" s="157"/>
      <c r="K15" s="150">
        <f t="shared" si="2"/>
        <v>0</v>
      </c>
      <c r="L15" s="61"/>
    </row>
    <row r="16" spans="1:12" s="2" customFormat="1" ht="39.950000000000003" customHeight="1">
      <c r="B16" s="144" t="s">
        <v>138</v>
      </c>
      <c r="C16" s="144"/>
      <c r="D16" s="144"/>
      <c r="E16" s="144">
        <v>1361</v>
      </c>
      <c r="F16" s="158">
        <v>47.1</v>
      </c>
      <c r="G16" s="186">
        <f t="shared" si="0"/>
        <v>64103.1</v>
      </c>
      <c r="H16" s="156"/>
      <c r="I16" s="145">
        <f t="shared" si="1"/>
        <v>1361</v>
      </c>
      <c r="J16" s="157"/>
      <c r="K16" s="150">
        <f t="shared" si="2"/>
        <v>0</v>
      </c>
    </row>
    <row r="17" spans="1:14" s="2" customFormat="1" ht="39.950000000000003" customHeight="1">
      <c r="B17" s="144" t="s">
        <v>139</v>
      </c>
      <c r="C17" s="145"/>
      <c r="D17" s="146"/>
      <c r="E17" s="145">
        <v>1376</v>
      </c>
      <c r="F17" s="146">
        <v>47.1</v>
      </c>
      <c r="G17" s="147">
        <f t="shared" ref="G17:G19" si="3">E17*F17</f>
        <v>64809.599999999999</v>
      </c>
      <c r="H17" s="148"/>
      <c r="I17" s="145">
        <f t="shared" ref="I17:I19" si="4">E17-H17</f>
        <v>1376</v>
      </c>
      <c r="J17" s="149"/>
      <c r="K17" s="150">
        <f t="shared" si="2"/>
        <v>0</v>
      </c>
      <c r="L17" s="61"/>
    </row>
    <row r="18" spans="1:14" s="2" customFormat="1" ht="39.950000000000003" customHeight="1">
      <c r="B18" s="144" t="s">
        <v>140</v>
      </c>
      <c r="C18" s="145"/>
      <c r="D18" s="146"/>
      <c r="E18" s="145">
        <v>1319</v>
      </c>
      <c r="F18" s="146">
        <v>46.3</v>
      </c>
      <c r="G18" s="147">
        <f t="shared" ref="G18" si="5">E18*F18</f>
        <v>61069.7</v>
      </c>
      <c r="H18" s="148"/>
      <c r="I18" s="145">
        <f t="shared" ref="I18" si="6">E18-H18</f>
        <v>1319</v>
      </c>
      <c r="J18" s="154"/>
      <c r="K18" s="150">
        <f t="shared" ref="K18" si="7">E18*J18</f>
        <v>0</v>
      </c>
      <c r="L18" s="61"/>
    </row>
    <row r="19" spans="1:14" s="2" customFormat="1" ht="39.950000000000003" customHeight="1">
      <c r="B19" s="144" t="s">
        <v>140</v>
      </c>
      <c r="C19" s="145"/>
      <c r="D19" s="146"/>
      <c r="E19" s="145">
        <v>728</v>
      </c>
      <c r="F19" s="146">
        <v>32</v>
      </c>
      <c r="G19" s="147">
        <f t="shared" si="3"/>
        <v>23296</v>
      </c>
      <c r="H19" s="148"/>
      <c r="I19" s="145">
        <f t="shared" si="4"/>
        <v>728</v>
      </c>
      <c r="J19" s="154"/>
      <c r="K19" s="150">
        <f t="shared" si="2"/>
        <v>0</v>
      </c>
      <c r="L19" s="61"/>
    </row>
    <row r="20" spans="1:14" s="2" customFormat="1" ht="39.950000000000003" customHeight="1">
      <c r="B20" s="159"/>
      <c r="C20" s="159"/>
      <c r="D20" s="159"/>
      <c r="E20" s="160">
        <f>SUM(E6:E19)</f>
        <v>16661</v>
      </c>
      <c r="F20" s="160"/>
      <c r="G20" s="160">
        <f>SUM(G6:G19)</f>
        <v>769978.39999999991</v>
      </c>
      <c r="H20" s="161">
        <f>SUM(H12:H17)</f>
        <v>0</v>
      </c>
      <c r="I20" s="160">
        <f>SUM(I6:I19)</f>
        <v>16661</v>
      </c>
      <c r="J20" s="160"/>
      <c r="K20" s="160">
        <f>SUM(K6:K19)</f>
        <v>0</v>
      </c>
      <c r="L20" s="51"/>
    </row>
    <row r="21" spans="1:14" s="2" customFormat="1" ht="31.5" customHeight="1">
      <c r="B21" s="9"/>
      <c r="C21" s="9"/>
      <c r="D21" s="9"/>
      <c r="E21" s="11"/>
      <c r="F21" s="29"/>
      <c r="G21" s="17"/>
      <c r="I21" s="12"/>
      <c r="J21" s="12"/>
      <c r="K21" s="8"/>
    </row>
    <row r="22" spans="1:14">
      <c r="G22" s="6"/>
    </row>
    <row r="23" spans="1:14" ht="39.950000000000003" customHeight="1" thickBot="1">
      <c r="A23" s="217" t="s">
        <v>102</v>
      </c>
      <c r="B23" s="217"/>
      <c r="C23" s="217"/>
      <c r="D23" s="217"/>
      <c r="E23" s="217"/>
      <c r="F23" s="217"/>
      <c r="G23" s="217"/>
      <c r="H23" s="217"/>
      <c r="I23" s="168" t="e">
        <f>G20+F41+#REF!</f>
        <v>#REF!</v>
      </c>
      <c r="J23" s="81"/>
    </row>
    <row r="24" spans="1:14" ht="39.950000000000003" customHeight="1">
      <c r="A24" s="165"/>
      <c r="B24" s="215" t="s">
        <v>18</v>
      </c>
      <c r="C24" s="215"/>
      <c r="D24" s="215"/>
      <c r="E24" s="215"/>
      <c r="F24" s="215"/>
      <c r="G24" s="216"/>
      <c r="H24" s="165"/>
      <c r="I24" s="165"/>
      <c r="J24" s="81"/>
    </row>
    <row r="25" spans="1:14" ht="39.950000000000003" customHeight="1">
      <c r="A25" s="165"/>
      <c r="B25" s="166" t="s">
        <v>0</v>
      </c>
      <c r="C25" s="166"/>
      <c r="D25" s="166"/>
      <c r="E25" s="166" t="s">
        <v>9</v>
      </c>
      <c r="F25" s="166" t="s">
        <v>12</v>
      </c>
      <c r="G25" s="166" t="s">
        <v>11</v>
      </c>
      <c r="H25" s="165"/>
      <c r="I25" s="165"/>
      <c r="J25" s="81"/>
      <c r="K25" s="59"/>
    </row>
    <row r="26" spans="1:14" ht="39.950000000000003" customHeight="1">
      <c r="A26" s="165"/>
      <c r="B26" s="144" t="s">
        <v>98</v>
      </c>
      <c r="C26" s="145"/>
      <c r="D26" s="145"/>
      <c r="E26" s="144">
        <v>1330</v>
      </c>
      <c r="F26" s="147">
        <v>6862</v>
      </c>
      <c r="G26" s="146">
        <f t="shared" ref="G26:G32" si="8">F26/E26</f>
        <v>5.1593984962406019</v>
      </c>
      <c r="H26" s="165"/>
      <c r="I26" s="167"/>
      <c r="J26" s="81"/>
      <c r="K26" s="10"/>
      <c r="L26" s="10"/>
      <c r="M26" s="84"/>
      <c r="N26" s="85"/>
    </row>
    <row r="27" spans="1:14" ht="39.950000000000003" customHeight="1">
      <c r="A27" s="165"/>
      <c r="B27" s="144" t="s">
        <v>128</v>
      </c>
      <c r="C27" s="145"/>
      <c r="D27" s="145"/>
      <c r="E27" s="144">
        <v>1282</v>
      </c>
      <c r="F27" s="147">
        <v>6614</v>
      </c>
      <c r="G27" s="152">
        <f t="shared" si="8"/>
        <v>5.1591263650546022</v>
      </c>
      <c r="H27" s="165"/>
      <c r="I27" s="167"/>
      <c r="J27" s="81"/>
      <c r="K27" s="10"/>
      <c r="L27" s="10"/>
      <c r="M27" s="84"/>
      <c r="N27" s="85"/>
    </row>
    <row r="28" spans="1:14" ht="39.950000000000003" customHeight="1">
      <c r="A28" s="165"/>
      <c r="B28" s="144" t="s">
        <v>129</v>
      </c>
      <c r="C28" s="144"/>
      <c r="D28" s="144"/>
      <c r="E28" s="144">
        <v>1642</v>
      </c>
      <c r="F28" s="186">
        <v>7486</v>
      </c>
      <c r="G28" s="155">
        <f t="shared" si="8"/>
        <v>4.5590742996345917</v>
      </c>
      <c r="H28" s="165"/>
      <c r="I28" s="167"/>
      <c r="J28" s="81"/>
      <c r="K28" s="10"/>
      <c r="L28" s="10"/>
      <c r="M28" s="84"/>
      <c r="N28" s="85"/>
    </row>
    <row r="29" spans="1:14" ht="39.950000000000003" customHeight="1">
      <c r="A29" s="165"/>
      <c r="B29" s="144" t="s">
        <v>130</v>
      </c>
      <c r="C29" s="144"/>
      <c r="D29" s="144"/>
      <c r="E29" s="144">
        <v>1313</v>
      </c>
      <c r="F29" s="186">
        <v>6406</v>
      </c>
      <c r="G29" s="155">
        <f t="shared" si="8"/>
        <v>4.8789032749428793</v>
      </c>
      <c r="H29" s="165"/>
      <c r="I29" s="167"/>
      <c r="J29" s="81"/>
      <c r="K29" s="10"/>
      <c r="L29" s="10"/>
      <c r="M29" s="84"/>
      <c r="N29" s="85"/>
    </row>
    <row r="30" spans="1:14" ht="39.950000000000003" customHeight="1">
      <c r="A30" s="165"/>
      <c r="B30" s="144" t="s">
        <v>131</v>
      </c>
      <c r="C30" s="144"/>
      <c r="D30" s="144"/>
      <c r="E30" s="151">
        <v>1309</v>
      </c>
      <c r="F30" s="186">
        <v>6753</v>
      </c>
      <c r="G30" s="155">
        <f t="shared" si="8"/>
        <v>5.158899923605806</v>
      </c>
      <c r="H30" s="165"/>
      <c r="I30" s="167"/>
      <c r="J30" s="81"/>
      <c r="K30" s="10"/>
      <c r="L30" s="10"/>
      <c r="M30" s="84"/>
      <c r="N30" s="85"/>
    </row>
    <row r="31" spans="1:14" ht="39.950000000000003" customHeight="1">
      <c r="A31" s="165"/>
      <c r="B31" s="144" t="s">
        <v>132</v>
      </c>
      <c r="C31" s="144"/>
      <c r="D31" s="144"/>
      <c r="E31" s="145">
        <v>848</v>
      </c>
      <c r="F31" s="186">
        <v>947</v>
      </c>
      <c r="G31" s="155">
        <f t="shared" si="8"/>
        <v>1.116745283018868</v>
      </c>
      <c r="H31" s="165"/>
      <c r="I31" s="165"/>
      <c r="J31" s="81"/>
      <c r="K31" s="59"/>
    </row>
    <row r="32" spans="1:14" ht="39.950000000000003" customHeight="1">
      <c r="A32" s="165"/>
      <c r="B32" s="144" t="s">
        <v>133</v>
      </c>
      <c r="C32" s="197"/>
      <c r="D32" s="197"/>
      <c r="E32" s="144">
        <v>1605</v>
      </c>
      <c r="F32" s="186">
        <v>8730</v>
      </c>
      <c r="G32" s="155">
        <f t="shared" si="8"/>
        <v>5.4392523364485985</v>
      </c>
      <c r="H32" s="165"/>
      <c r="I32" s="167"/>
      <c r="J32" s="81"/>
      <c r="K32" s="10"/>
      <c r="L32" s="10"/>
      <c r="M32" s="84"/>
      <c r="N32" s="85"/>
    </row>
    <row r="33" spans="1:20" ht="39.950000000000003" customHeight="1">
      <c r="A33" s="165"/>
      <c r="B33" s="144" t="s">
        <v>134</v>
      </c>
      <c r="C33" s="144"/>
      <c r="D33" s="144"/>
      <c r="E33" s="144">
        <v>1263</v>
      </c>
      <c r="F33" s="186">
        <v>6515</v>
      </c>
      <c r="G33" s="155">
        <f t="shared" ref="G33:G40" si="9">F33/E33</f>
        <v>5.1583531274742676</v>
      </c>
      <c r="H33" s="165"/>
      <c r="I33" s="165"/>
      <c r="J33" s="143"/>
      <c r="K33" s="60"/>
    </row>
    <row r="34" spans="1:20" ht="39.950000000000003" customHeight="1">
      <c r="A34" s="165"/>
      <c r="B34" s="144" t="s">
        <v>141</v>
      </c>
      <c r="C34" s="144"/>
      <c r="D34" s="144"/>
      <c r="E34" s="144">
        <v>1269</v>
      </c>
      <c r="F34" s="186">
        <v>6144</v>
      </c>
      <c r="G34" s="155">
        <f t="shared" si="9"/>
        <v>4.8416075650118202</v>
      </c>
      <c r="H34" s="165"/>
      <c r="I34" s="167"/>
      <c r="J34" s="81"/>
      <c r="K34" s="10"/>
      <c r="L34" s="10"/>
      <c r="M34" s="84"/>
      <c r="N34" s="85"/>
    </row>
    <row r="35" spans="1:20" ht="39.950000000000003" customHeight="1">
      <c r="A35" s="165"/>
      <c r="B35" s="144" t="s">
        <v>136</v>
      </c>
      <c r="C35" s="144"/>
      <c r="D35" s="144"/>
      <c r="E35" s="144">
        <v>520</v>
      </c>
      <c r="F35" s="186">
        <v>2270</v>
      </c>
      <c r="G35" s="155">
        <f t="shared" si="9"/>
        <v>4.365384615384615</v>
      </c>
      <c r="H35" s="165"/>
      <c r="I35" s="167"/>
      <c r="J35" s="81"/>
      <c r="K35" s="59"/>
    </row>
    <row r="36" spans="1:20" ht="39.950000000000003" customHeight="1">
      <c r="A36" s="165"/>
      <c r="B36" s="144" t="s">
        <v>137</v>
      </c>
      <c r="C36" s="144"/>
      <c r="D36" s="144"/>
      <c r="E36" s="144">
        <v>826</v>
      </c>
      <c r="F36" s="186">
        <v>4526</v>
      </c>
      <c r="G36" s="155">
        <f t="shared" si="9"/>
        <v>5.4794188861985473</v>
      </c>
      <c r="H36" s="165"/>
      <c r="J36" s="81"/>
      <c r="K36" s="10"/>
      <c r="L36" s="10"/>
      <c r="M36" s="84"/>
      <c r="N36" s="85"/>
    </row>
    <row r="37" spans="1:20" ht="39.950000000000003" customHeight="1">
      <c r="A37" s="165"/>
      <c r="B37" s="144" t="s">
        <v>138</v>
      </c>
      <c r="C37" s="145"/>
      <c r="D37" s="145"/>
      <c r="E37" s="145">
        <v>1361</v>
      </c>
      <c r="F37" s="147">
        <v>7403</v>
      </c>
      <c r="G37" s="146">
        <f t="shared" si="9"/>
        <v>5.4393828067597356</v>
      </c>
      <c r="H37" s="165"/>
      <c r="J37" s="81"/>
      <c r="K37" s="10"/>
      <c r="L37" s="10"/>
      <c r="M37" s="84"/>
      <c r="N37" s="85"/>
    </row>
    <row r="38" spans="1:20" ht="39.950000000000003" customHeight="1">
      <c r="A38" s="165"/>
      <c r="B38" s="144" t="s">
        <v>139</v>
      </c>
      <c r="C38" s="145"/>
      <c r="D38" s="145"/>
      <c r="E38" s="145">
        <v>1376</v>
      </c>
      <c r="F38" s="147">
        <v>7485</v>
      </c>
      <c r="G38" s="146">
        <f t="shared" si="9"/>
        <v>5.4396802325581399</v>
      </c>
      <c r="H38" s="165"/>
      <c r="J38" s="81"/>
      <c r="K38" s="10"/>
      <c r="L38" s="10"/>
      <c r="M38" s="84"/>
      <c r="N38" s="85"/>
    </row>
    <row r="39" spans="1:20" ht="39.950000000000003" customHeight="1">
      <c r="A39" s="165"/>
      <c r="B39" s="144" t="s">
        <v>140</v>
      </c>
      <c r="C39" s="145"/>
      <c r="D39" s="145"/>
      <c r="E39" s="145">
        <v>1319</v>
      </c>
      <c r="F39" s="147">
        <v>6805</v>
      </c>
      <c r="G39" s="146">
        <f t="shared" si="9"/>
        <v>5.1592115238817282</v>
      </c>
      <c r="H39" s="165"/>
      <c r="J39" s="81"/>
      <c r="K39" s="10"/>
      <c r="L39" s="10"/>
      <c r="M39" s="84"/>
      <c r="N39" s="85"/>
    </row>
    <row r="40" spans="1:20" ht="39.950000000000003" customHeight="1">
      <c r="A40" s="165"/>
      <c r="B40" s="144" t="s">
        <v>28</v>
      </c>
      <c r="C40" s="145"/>
      <c r="D40" s="145"/>
      <c r="E40" s="145">
        <v>50</v>
      </c>
      <c r="F40" s="147">
        <v>500</v>
      </c>
      <c r="G40" s="146">
        <f t="shared" si="9"/>
        <v>10</v>
      </c>
      <c r="H40" s="165"/>
      <c r="J40" s="81"/>
      <c r="K40" s="10"/>
      <c r="L40" s="10"/>
      <c r="M40" s="84"/>
      <c r="N40" s="85"/>
    </row>
    <row r="41" spans="1:20" ht="39.950000000000003" customHeight="1" thickBot="1">
      <c r="A41" s="169"/>
      <c r="B41" s="144"/>
      <c r="C41" s="159"/>
      <c r="D41" s="159"/>
      <c r="E41" s="159">
        <f>SUM(E26:E40)</f>
        <v>17313</v>
      </c>
      <c r="F41" s="170">
        <f>SUM(F26:F40)</f>
        <v>85446</v>
      </c>
      <c r="G41" s="159"/>
      <c r="H41" s="169"/>
      <c r="I41" s="169"/>
      <c r="J41" s="18"/>
      <c r="S41" s="13"/>
      <c r="T41" s="14"/>
    </row>
    <row r="42" spans="1:20" ht="23.25">
      <c r="A42" s="18"/>
      <c r="B42" s="18"/>
      <c r="C42" s="18"/>
      <c r="D42" s="18"/>
      <c r="E42" s="18"/>
      <c r="F42" s="18"/>
      <c r="G42" s="18"/>
      <c r="H42" s="18"/>
      <c r="I42" s="18"/>
      <c r="J42" s="18"/>
    </row>
  </sheetData>
  <mergeCells count="4">
    <mergeCell ref="A23:H23"/>
    <mergeCell ref="B24:G24"/>
    <mergeCell ref="B3:K3"/>
    <mergeCell ref="B4:K4"/>
  </mergeCells>
  <pageMargins left="0.15748031496062992" right="0.15748031496062992" top="0.74803149606299213" bottom="0.74803149606299213" header="0.31496062992125984" footer="0.31496062992125984"/>
  <pageSetup scale="2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53"/>
  <sheetViews>
    <sheetView zoomScaleNormal="100" workbookViewId="0">
      <selection activeCell="E52" sqref="E52"/>
    </sheetView>
  </sheetViews>
  <sheetFormatPr defaultRowHeight="18.75"/>
  <cols>
    <col min="2" max="2" width="38.85546875" bestFit="1" customWidth="1"/>
    <col min="3" max="5" width="20.7109375" style="52" customWidth="1"/>
    <col min="6" max="6" width="20.7109375" style="83" customWidth="1"/>
    <col min="8" max="8" width="20.7109375" style="52" customWidth="1"/>
    <col min="9" max="9" width="19.42578125" customWidth="1"/>
    <col min="10" max="10" width="36.85546875" customWidth="1"/>
  </cols>
  <sheetData>
    <row r="2" spans="1:10" ht="36">
      <c r="A2" s="96" t="s">
        <v>57</v>
      </c>
      <c r="B2" s="97" t="s">
        <v>37</v>
      </c>
      <c r="C2" s="118" t="s">
        <v>79</v>
      </c>
      <c r="D2" s="137" t="s">
        <v>91</v>
      </c>
      <c r="E2" s="137" t="s">
        <v>92</v>
      </c>
      <c r="F2" s="98" t="s">
        <v>78</v>
      </c>
      <c r="H2" s="97" t="s">
        <v>59</v>
      </c>
    </row>
    <row r="3" spans="1:10" ht="18">
      <c r="A3" s="96"/>
      <c r="B3" s="97"/>
      <c r="C3" s="118"/>
      <c r="D3" s="97"/>
      <c r="E3" s="97"/>
      <c r="F3" s="117"/>
      <c r="H3" s="97"/>
    </row>
    <row r="4" spans="1:10" ht="29.25" customHeight="1">
      <c r="A4" s="104">
        <v>1</v>
      </c>
      <c r="B4" s="133" t="s">
        <v>40</v>
      </c>
      <c r="C4" s="171">
        <v>20000</v>
      </c>
      <c r="D4" s="132">
        <v>1183</v>
      </c>
      <c r="E4" s="132">
        <f t="shared" ref="E4:E51" si="0">C4-D4</f>
        <v>18817</v>
      </c>
      <c r="F4" s="131"/>
      <c r="G4" s="127"/>
      <c r="H4" s="132">
        <f t="shared" ref="H4:H51" si="1">E4-F4</f>
        <v>18817</v>
      </c>
      <c r="J4" s="138"/>
    </row>
    <row r="5" spans="1:10" s="112" customFormat="1" ht="29.25" customHeight="1">
      <c r="A5" s="104">
        <v>2</v>
      </c>
      <c r="B5" s="133" t="s">
        <v>42</v>
      </c>
      <c r="C5" s="171">
        <v>22700</v>
      </c>
      <c r="D5" s="132">
        <v>1531</v>
      </c>
      <c r="E5" s="132">
        <f t="shared" si="0"/>
        <v>21169</v>
      </c>
      <c r="F5" s="131"/>
      <c r="G5" s="127"/>
      <c r="H5" s="132">
        <f t="shared" si="1"/>
        <v>21169</v>
      </c>
      <c r="I5"/>
      <c r="J5" s="138"/>
    </row>
    <row r="6" spans="1:10" ht="29.25" customHeight="1">
      <c r="A6" s="104">
        <v>3</v>
      </c>
      <c r="B6" s="93" t="s">
        <v>43</v>
      </c>
      <c r="C6" s="171">
        <v>22000</v>
      </c>
      <c r="D6" s="132"/>
      <c r="E6" s="132">
        <f t="shared" si="0"/>
        <v>22000</v>
      </c>
      <c r="F6" s="131"/>
      <c r="G6" s="127"/>
      <c r="H6" s="132">
        <f t="shared" si="1"/>
        <v>22000</v>
      </c>
      <c r="I6" s="173"/>
      <c r="J6" s="138"/>
    </row>
    <row r="7" spans="1:10" ht="29.25" customHeight="1">
      <c r="A7" s="104">
        <v>4</v>
      </c>
      <c r="B7" s="82" t="s">
        <v>80</v>
      </c>
      <c r="C7" s="171">
        <v>23900</v>
      </c>
      <c r="D7" s="132"/>
      <c r="E7" s="132">
        <f t="shared" si="0"/>
        <v>23900</v>
      </c>
      <c r="F7" s="131"/>
      <c r="G7" s="127"/>
      <c r="H7" s="132">
        <f t="shared" si="1"/>
        <v>23900</v>
      </c>
      <c r="I7" s="173"/>
      <c r="J7" s="138"/>
    </row>
    <row r="8" spans="1:10" ht="29.25" customHeight="1">
      <c r="A8" s="104">
        <v>6</v>
      </c>
      <c r="B8" s="94" t="s">
        <v>58</v>
      </c>
      <c r="C8" s="171">
        <v>19000</v>
      </c>
      <c r="D8" s="132"/>
      <c r="E8" s="132">
        <f t="shared" si="0"/>
        <v>19000</v>
      </c>
      <c r="F8" s="131"/>
      <c r="G8" s="127"/>
      <c r="H8" s="132">
        <f t="shared" si="1"/>
        <v>19000</v>
      </c>
      <c r="I8" s="127"/>
      <c r="J8" s="139"/>
    </row>
    <row r="9" spans="1:10" s="112" customFormat="1" ht="29.25" customHeight="1">
      <c r="A9" s="104">
        <v>7</v>
      </c>
      <c r="B9" s="86" t="s">
        <v>87</v>
      </c>
      <c r="C9" s="171">
        <v>21100</v>
      </c>
      <c r="D9" s="132"/>
      <c r="E9" s="132">
        <f t="shared" si="0"/>
        <v>21100</v>
      </c>
      <c r="F9" s="131"/>
      <c r="G9" s="127"/>
      <c r="H9" s="132">
        <f t="shared" si="1"/>
        <v>21100</v>
      </c>
      <c r="I9" s="173"/>
      <c r="J9" s="138"/>
    </row>
    <row r="10" spans="1:10" ht="29.25" customHeight="1">
      <c r="A10" s="104">
        <v>8</v>
      </c>
      <c r="B10" s="93" t="s">
        <v>81</v>
      </c>
      <c r="C10" s="171">
        <v>24500</v>
      </c>
      <c r="D10" s="132"/>
      <c r="E10" s="132">
        <f t="shared" si="0"/>
        <v>24500</v>
      </c>
      <c r="F10" s="131"/>
      <c r="G10" s="127"/>
      <c r="H10" s="132">
        <f t="shared" si="1"/>
        <v>24500</v>
      </c>
      <c r="I10" s="173"/>
      <c r="J10" s="138"/>
    </row>
    <row r="11" spans="1:10" ht="29.25" customHeight="1">
      <c r="A11" s="104">
        <v>10</v>
      </c>
      <c r="B11" s="95" t="s">
        <v>82</v>
      </c>
      <c r="C11" s="171">
        <v>19000</v>
      </c>
      <c r="D11" s="132"/>
      <c r="E11" s="132">
        <f t="shared" si="0"/>
        <v>19000</v>
      </c>
      <c r="F11" s="131"/>
      <c r="G11" s="127"/>
      <c r="H11" s="132">
        <f t="shared" si="1"/>
        <v>19000</v>
      </c>
      <c r="I11" s="127"/>
      <c r="J11" s="138"/>
    </row>
    <row r="12" spans="1:10" ht="29.25" customHeight="1">
      <c r="A12" s="104">
        <v>11</v>
      </c>
      <c r="B12" s="95" t="s">
        <v>90</v>
      </c>
      <c r="C12" s="171">
        <v>10900</v>
      </c>
      <c r="D12" s="132"/>
      <c r="E12" s="132">
        <f t="shared" si="0"/>
        <v>10900</v>
      </c>
      <c r="F12" s="131"/>
      <c r="G12" s="127"/>
      <c r="H12" s="132">
        <f t="shared" si="1"/>
        <v>10900</v>
      </c>
      <c r="J12" s="138"/>
    </row>
    <row r="13" spans="1:10" s="112" customFormat="1" ht="29.25" customHeight="1">
      <c r="A13" s="104">
        <v>12</v>
      </c>
      <c r="B13" s="94" t="s">
        <v>93</v>
      </c>
      <c r="C13" s="171">
        <v>18100</v>
      </c>
      <c r="D13" s="132"/>
      <c r="E13" s="132">
        <f t="shared" si="0"/>
        <v>18100</v>
      </c>
      <c r="F13" s="131"/>
      <c r="G13" s="127"/>
      <c r="H13" s="132">
        <f t="shared" si="1"/>
        <v>18100</v>
      </c>
      <c r="I13"/>
    </row>
    <row r="14" spans="1:10" s="112" customFormat="1" ht="29.25" customHeight="1">
      <c r="A14" s="104">
        <v>13</v>
      </c>
      <c r="B14" s="93" t="s">
        <v>38</v>
      </c>
      <c r="C14" s="171">
        <v>19400</v>
      </c>
      <c r="D14" s="132"/>
      <c r="E14" s="132">
        <f t="shared" si="0"/>
        <v>19400</v>
      </c>
      <c r="F14" s="131"/>
      <c r="G14" s="127"/>
      <c r="H14" s="132">
        <f t="shared" si="1"/>
        <v>19400</v>
      </c>
      <c r="I14"/>
    </row>
    <row r="15" spans="1:10" ht="29.25" customHeight="1">
      <c r="A15" s="104">
        <v>14</v>
      </c>
      <c r="B15" s="93" t="s">
        <v>39</v>
      </c>
      <c r="C15" s="171">
        <v>23900</v>
      </c>
      <c r="D15" s="132"/>
      <c r="E15" s="132">
        <f t="shared" si="0"/>
        <v>23900</v>
      </c>
      <c r="F15" s="131"/>
      <c r="G15" s="127"/>
      <c r="H15" s="132">
        <f t="shared" si="1"/>
        <v>23900</v>
      </c>
      <c r="J15" s="138"/>
    </row>
    <row r="16" spans="1:10" ht="29.25" customHeight="1">
      <c r="A16" s="104">
        <v>15</v>
      </c>
      <c r="B16" s="93" t="s">
        <v>44</v>
      </c>
      <c r="C16" s="171">
        <v>17100</v>
      </c>
      <c r="D16" s="132"/>
      <c r="E16" s="132">
        <f t="shared" si="0"/>
        <v>17100</v>
      </c>
      <c r="F16" s="131"/>
      <c r="G16" s="127"/>
      <c r="H16" s="132">
        <f t="shared" si="1"/>
        <v>17100</v>
      </c>
      <c r="J16" s="138"/>
    </row>
    <row r="17" spans="1:9" ht="29.25" customHeight="1">
      <c r="A17" s="104">
        <v>16</v>
      </c>
      <c r="B17" s="93" t="s">
        <v>45</v>
      </c>
      <c r="C17" s="171">
        <v>21900</v>
      </c>
      <c r="D17" s="132"/>
      <c r="E17" s="132">
        <f t="shared" si="0"/>
        <v>21900</v>
      </c>
      <c r="F17" s="131"/>
      <c r="G17" s="127"/>
      <c r="H17" s="132">
        <f t="shared" si="1"/>
        <v>21900</v>
      </c>
    </row>
    <row r="18" spans="1:9" ht="29.25" customHeight="1">
      <c r="A18" s="104">
        <v>17</v>
      </c>
      <c r="B18" s="93" t="s">
        <v>46</v>
      </c>
      <c r="C18" s="171">
        <v>18300</v>
      </c>
      <c r="D18" s="132"/>
      <c r="E18" s="132">
        <f t="shared" si="0"/>
        <v>18300</v>
      </c>
      <c r="F18" s="131"/>
      <c r="G18" s="127"/>
      <c r="H18" s="132">
        <f t="shared" si="1"/>
        <v>18300</v>
      </c>
      <c r="I18" s="112"/>
    </row>
    <row r="19" spans="1:9" ht="29.25" customHeight="1">
      <c r="A19" s="104">
        <v>18</v>
      </c>
      <c r="B19" s="134" t="s">
        <v>83</v>
      </c>
      <c r="C19" s="171">
        <v>26000</v>
      </c>
      <c r="D19" s="132">
        <v>1670</v>
      </c>
      <c r="E19" s="132">
        <f t="shared" si="0"/>
        <v>24330</v>
      </c>
      <c r="F19" s="131"/>
      <c r="G19" s="127"/>
      <c r="H19" s="132">
        <f t="shared" si="1"/>
        <v>24330</v>
      </c>
    </row>
    <row r="20" spans="1:9" ht="29.25" customHeight="1">
      <c r="A20" s="104">
        <v>19</v>
      </c>
      <c r="B20" s="133" t="s">
        <v>47</v>
      </c>
      <c r="C20" s="171">
        <v>20700</v>
      </c>
      <c r="D20" s="132">
        <v>1601</v>
      </c>
      <c r="E20" s="132">
        <f t="shared" si="0"/>
        <v>19099</v>
      </c>
      <c r="F20" s="131"/>
      <c r="G20" s="127"/>
      <c r="H20" s="132">
        <f t="shared" si="1"/>
        <v>19099</v>
      </c>
      <c r="I20" s="174"/>
    </row>
    <row r="21" spans="1:9" ht="29.25" customHeight="1">
      <c r="A21" s="104">
        <v>20</v>
      </c>
      <c r="B21" s="94" t="s">
        <v>48</v>
      </c>
      <c r="C21" s="171">
        <v>27600</v>
      </c>
      <c r="D21" s="132"/>
      <c r="E21" s="132">
        <f t="shared" si="0"/>
        <v>27600</v>
      </c>
      <c r="F21" s="131"/>
      <c r="G21" s="127"/>
      <c r="H21" s="132">
        <f t="shared" si="1"/>
        <v>27600</v>
      </c>
      <c r="I21" s="127"/>
    </row>
    <row r="22" spans="1:9" ht="29.25" customHeight="1">
      <c r="A22" s="104">
        <v>21</v>
      </c>
      <c r="B22" s="134" t="s">
        <v>65</v>
      </c>
      <c r="C22" s="171">
        <v>17400</v>
      </c>
      <c r="D22" s="132">
        <v>1601</v>
      </c>
      <c r="E22" s="132">
        <f t="shared" si="0"/>
        <v>15799</v>
      </c>
      <c r="F22" s="131"/>
      <c r="G22" s="127"/>
      <c r="H22" s="132">
        <f t="shared" si="1"/>
        <v>15799</v>
      </c>
      <c r="I22" s="174"/>
    </row>
    <row r="23" spans="1:9" s="112" customFormat="1" ht="29.25" customHeight="1">
      <c r="A23" s="104">
        <v>22</v>
      </c>
      <c r="B23" s="82" t="s">
        <v>56</v>
      </c>
      <c r="C23" s="171">
        <v>21500</v>
      </c>
      <c r="D23" s="132"/>
      <c r="E23" s="132">
        <f t="shared" si="0"/>
        <v>21500</v>
      </c>
      <c r="F23" s="131"/>
      <c r="G23" s="127"/>
      <c r="H23" s="132">
        <f t="shared" si="1"/>
        <v>21500</v>
      </c>
      <c r="I23" s="127"/>
    </row>
    <row r="24" spans="1:9" ht="29.25" customHeight="1">
      <c r="A24" s="104">
        <v>23</v>
      </c>
      <c r="B24" s="135" t="s">
        <v>64</v>
      </c>
      <c r="C24" s="171">
        <v>19400</v>
      </c>
      <c r="D24" s="132">
        <v>1183</v>
      </c>
      <c r="E24" s="132">
        <f t="shared" si="0"/>
        <v>18217</v>
      </c>
      <c r="F24" s="131"/>
      <c r="G24" s="127"/>
      <c r="H24" s="132">
        <f t="shared" si="1"/>
        <v>18217</v>
      </c>
      <c r="I24" s="127"/>
    </row>
    <row r="25" spans="1:9" ht="29.25" customHeight="1">
      <c r="A25" s="104">
        <v>25</v>
      </c>
      <c r="B25" s="133" t="s">
        <v>41</v>
      </c>
      <c r="C25" s="171">
        <v>12100</v>
      </c>
      <c r="D25" s="132">
        <v>557</v>
      </c>
      <c r="E25" s="132">
        <f t="shared" si="0"/>
        <v>11543</v>
      </c>
      <c r="F25" s="131"/>
      <c r="G25" s="127"/>
      <c r="H25" s="132">
        <f t="shared" si="1"/>
        <v>11543</v>
      </c>
      <c r="I25" s="127"/>
    </row>
    <row r="26" spans="1:9" ht="29.25" customHeight="1">
      <c r="A26" s="104">
        <v>26</v>
      </c>
      <c r="B26" s="104" t="s">
        <v>72</v>
      </c>
      <c r="C26" s="171">
        <v>14700</v>
      </c>
      <c r="D26" s="132"/>
      <c r="E26" s="132">
        <f t="shared" si="0"/>
        <v>14700</v>
      </c>
      <c r="F26" s="131"/>
      <c r="G26" s="127"/>
      <c r="H26" s="132">
        <f t="shared" si="1"/>
        <v>14700</v>
      </c>
      <c r="I26" s="127"/>
    </row>
    <row r="27" spans="1:9" ht="29.25" customHeight="1">
      <c r="A27" s="104">
        <v>27</v>
      </c>
      <c r="B27" s="172" t="s">
        <v>73</v>
      </c>
      <c r="C27" s="171">
        <v>13400</v>
      </c>
      <c r="D27" s="132">
        <v>1113</v>
      </c>
      <c r="E27" s="132">
        <f t="shared" si="0"/>
        <v>12287</v>
      </c>
      <c r="F27" s="131"/>
      <c r="G27" s="127"/>
      <c r="H27" s="132">
        <f t="shared" si="1"/>
        <v>12287</v>
      </c>
      <c r="I27" s="112"/>
    </row>
    <row r="28" spans="1:9" ht="29.25" customHeight="1">
      <c r="A28" s="104">
        <v>28</v>
      </c>
      <c r="B28" s="136" t="s">
        <v>52</v>
      </c>
      <c r="C28" s="171">
        <v>25100</v>
      </c>
      <c r="D28" s="132">
        <v>1252</v>
      </c>
      <c r="E28" s="132">
        <f t="shared" si="0"/>
        <v>23848</v>
      </c>
      <c r="F28" s="131"/>
      <c r="G28" s="127"/>
      <c r="H28" s="132">
        <f t="shared" si="1"/>
        <v>23848</v>
      </c>
      <c r="I28" s="112"/>
    </row>
    <row r="29" spans="1:9" s="112" customFormat="1" ht="29.25" customHeight="1">
      <c r="A29" s="104">
        <v>29</v>
      </c>
      <c r="B29" s="136" t="s">
        <v>53</v>
      </c>
      <c r="C29" s="171">
        <v>23000</v>
      </c>
      <c r="D29" s="132">
        <v>1670</v>
      </c>
      <c r="E29" s="132">
        <f t="shared" si="0"/>
        <v>21330</v>
      </c>
      <c r="F29" s="131"/>
      <c r="G29" s="127"/>
      <c r="H29" s="132">
        <f t="shared" si="1"/>
        <v>21330</v>
      </c>
      <c r="I29" s="116"/>
    </row>
    <row r="30" spans="1:9" ht="29.25" customHeight="1">
      <c r="A30" s="104">
        <v>30</v>
      </c>
      <c r="B30" s="136" t="s">
        <v>84</v>
      </c>
      <c r="C30" s="171">
        <v>15500</v>
      </c>
      <c r="D30" s="132">
        <v>1461</v>
      </c>
      <c r="E30" s="132">
        <f t="shared" si="0"/>
        <v>14039</v>
      </c>
      <c r="F30" s="131"/>
      <c r="G30" s="127"/>
      <c r="H30" s="132">
        <f t="shared" si="1"/>
        <v>14039</v>
      </c>
      <c r="I30" s="112"/>
    </row>
    <row r="31" spans="1:9" ht="29.25" customHeight="1">
      <c r="A31" s="104">
        <v>31</v>
      </c>
      <c r="B31" s="136" t="s">
        <v>54</v>
      </c>
      <c r="C31" s="171">
        <v>12100</v>
      </c>
      <c r="D31" s="132">
        <v>836</v>
      </c>
      <c r="E31" s="132">
        <f t="shared" si="0"/>
        <v>11264</v>
      </c>
      <c r="F31" s="131"/>
      <c r="G31" s="127"/>
      <c r="H31" s="132">
        <f t="shared" si="1"/>
        <v>11264</v>
      </c>
      <c r="I31" s="112"/>
    </row>
    <row r="32" spans="1:9" ht="29.25" customHeight="1">
      <c r="A32" s="104">
        <v>32</v>
      </c>
      <c r="B32" s="136" t="s">
        <v>55</v>
      </c>
      <c r="C32" s="171">
        <v>25500</v>
      </c>
      <c r="D32" s="132">
        <v>1670</v>
      </c>
      <c r="E32" s="132">
        <f t="shared" si="0"/>
        <v>23830</v>
      </c>
      <c r="F32" s="131"/>
      <c r="G32" s="127"/>
      <c r="H32" s="132">
        <f t="shared" si="1"/>
        <v>23830</v>
      </c>
      <c r="I32" s="112"/>
    </row>
    <row r="33" spans="1:9" ht="29.25" customHeight="1">
      <c r="A33" s="104">
        <v>33</v>
      </c>
      <c r="B33" s="104" t="s">
        <v>85</v>
      </c>
      <c r="C33" s="208">
        <v>16800</v>
      </c>
      <c r="D33" s="132"/>
      <c r="E33" s="132">
        <f t="shared" si="0"/>
        <v>16800</v>
      </c>
      <c r="F33" s="131"/>
      <c r="G33" s="127"/>
      <c r="H33" s="132">
        <f t="shared" si="1"/>
        <v>16800</v>
      </c>
      <c r="I33" s="112"/>
    </row>
    <row r="34" spans="1:9" ht="29.25" customHeight="1">
      <c r="A34" s="104">
        <v>34</v>
      </c>
      <c r="B34" s="104" t="s">
        <v>66</v>
      </c>
      <c r="C34" s="171">
        <v>15100</v>
      </c>
      <c r="D34" s="132"/>
      <c r="E34" s="132">
        <f t="shared" si="0"/>
        <v>15100</v>
      </c>
      <c r="F34" s="131"/>
      <c r="G34" s="127"/>
      <c r="H34" s="132">
        <f t="shared" si="1"/>
        <v>15100</v>
      </c>
      <c r="I34" s="175">
        <f>SUM(I1:I33)</f>
        <v>0</v>
      </c>
    </row>
    <row r="35" spans="1:9" ht="29.25" customHeight="1">
      <c r="A35" s="104">
        <v>35</v>
      </c>
      <c r="B35" s="94" t="s">
        <v>67</v>
      </c>
      <c r="C35" s="171">
        <v>10300</v>
      </c>
      <c r="D35" s="132"/>
      <c r="E35" s="132">
        <f t="shared" si="0"/>
        <v>10300</v>
      </c>
      <c r="F35" s="131"/>
      <c r="G35" s="127"/>
      <c r="H35" s="132">
        <f t="shared" si="1"/>
        <v>10300</v>
      </c>
    </row>
    <row r="36" spans="1:9" ht="29.25" customHeight="1">
      <c r="A36" s="104">
        <v>36</v>
      </c>
      <c r="B36" s="104" t="s">
        <v>86</v>
      </c>
      <c r="C36" s="171">
        <v>12800</v>
      </c>
      <c r="D36" s="132"/>
      <c r="E36" s="132">
        <f t="shared" si="0"/>
        <v>12800</v>
      </c>
      <c r="F36" s="131"/>
      <c r="G36" s="127"/>
      <c r="H36" s="132">
        <f t="shared" si="1"/>
        <v>12800</v>
      </c>
    </row>
    <row r="37" spans="1:9" s="112" customFormat="1" ht="29.25" customHeight="1">
      <c r="A37" s="104">
        <v>37</v>
      </c>
      <c r="B37" s="104" t="s">
        <v>68</v>
      </c>
      <c r="C37" s="171">
        <v>25700</v>
      </c>
      <c r="D37" s="132"/>
      <c r="E37" s="132">
        <f t="shared" si="0"/>
        <v>25700</v>
      </c>
      <c r="F37" s="131"/>
      <c r="G37" s="127"/>
      <c r="H37" s="132">
        <f t="shared" si="1"/>
        <v>25700</v>
      </c>
      <c r="I37" s="173"/>
    </row>
    <row r="38" spans="1:9" s="112" customFormat="1" ht="29.25" customHeight="1">
      <c r="A38" s="104">
        <v>38</v>
      </c>
      <c r="B38" s="104" t="s">
        <v>74</v>
      </c>
      <c r="C38" s="171">
        <v>26400</v>
      </c>
      <c r="D38" s="132"/>
      <c r="E38" s="132">
        <f t="shared" si="0"/>
        <v>26400</v>
      </c>
      <c r="F38" s="131"/>
      <c r="G38" s="127"/>
      <c r="H38" s="132">
        <f t="shared" si="1"/>
        <v>26400</v>
      </c>
      <c r="I38" s="173"/>
    </row>
    <row r="39" spans="1:9" s="112" customFormat="1" ht="29.25" customHeight="1">
      <c r="A39" s="104">
        <v>39</v>
      </c>
      <c r="B39" s="104" t="s">
        <v>88</v>
      </c>
      <c r="C39" s="171">
        <v>13800</v>
      </c>
      <c r="D39" s="132"/>
      <c r="E39" s="132">
        <f t="shared" si="0"/>
        <v>13800</v>
      </c>
      <c r="F39" s="131"/>
      <c r="G39" s="127"/>
      <c r="H39" s="132">
        <f t="shared" si="1"/>
        <v>13800</v>
      </c>
    </row>
    <row r="40" spans="1:9" ht="29.25" customHeight="1">
      <c r="A40" s="104">
        <v>40</v>
      </c>
      <c r="B40" s="104" t="s">
        <v>89</v>
      </c>
      <c r="C40" s="171">
        <v>21300</v>
      </c>
      <c r="D40" s="132"/>
      <c r="E40" s="132">
        <f t="shared" si="0"/>
        <v>21300</v>
      </c>
      <c r="F40" s="131"/>
      <c r="G40" s="127"/>
      <c r="H40" s="132">
        <f t="shared" si="1"/>
        <v>21300</v>
      </c>
      <c r="I40" s="112"/>
    </row>
    <row r="41" spans="1:9" ht="29.25" customHeight="1">
      <c r="A41" s="104">
        <v>41</v>
      </c>
      <c r="B41" s="104" t="s">
        <v>76</v>
      </c>
      <c r="C41" s="171">
        <v>10200</v>
      </c>
      <c r="D41" s="132"/>
      <c r="E41" s="132">
        <f t="shared" si="0"/>
        <v>10200</v>
      </c>
      <c r="F41" s="131"/>
      <c r="G41" s="127"/>
      <c r="H41" s="132">
        <f t="shared" si="1"/>
        <v>10200</v>
      </c>
      <c r="I41" s="112"/>
    </row>
    <row r="42" spans="1:9" ht="29.25" customHeight="1">
      <c r="A42" s="104">
        <v>42</v>
      </c>
      <c r="B42" s="94" t="s">
        <v>70</v>
      </c>
      <c r="C42" s="171">
        <v>24500</v>
      </c>
      <c r="D42" s="132"/>
      <c r="E42" s="132">
        <f t="shared" si="0"/>
        <v>24500</v>
      </c>
      <c r="F42" s="131"/>
      <c r="G42" s="127"/>
      <c r="H42" s="132">
        <f t="shared" si="1"/>
        <v>24500</v>
      </c>
      <c r="I42" s="112"/>
    </row>
    <row r="43" spans="1:9" s="112" customFormat="1" ht="29.25" customHeight="1">
      <c r="A43" s="104">
        <v>43</v>
      </c>
      <c r="B43" s="94" t="s">
        <v>50</v>
      </c>
      <c r="C43" s="171">
        <v>28100</v>
      </c>
      <c r="D43" s="132"/>
      <c r="E43" s="132">
        <f t="shared" si="0"/>
        <v>28100</v>
      </c>
      <c r="F43" s="131"/>
      <c r="G43" s="127"/>
      <c r="H43" s="132">
        <f t="shared" si="1"/>
        <v>28100</v>
      </c>
      <c r="I43" s="173"/>
    </row>
    <row r="44" spans="1:9" ht="29.25" customHeight="1">
      <c r="A44" s="104">
        <v>44</v>
      </c>
      <c r="B44" s="94" t="s">
        <v>51</v>
      </c>
      <c r="C44" s="171">
        <v>26000</v>
      </c>
      <c r="D44" s="132"/>
      <c r="E44" s="132">
        <f t="shared" si="0"/>
        <v>26000</v>
      </c>
      <c r="F44" s="131"/>
      <c r="G44" s="127"/>
      <c r="H44" s="132">
        <f t="shared" si="1"/>
        <v>26000</v>
      </c>
    </row>
    <row r="45" spans="1:9" s="112" customFormat="1" ht="29.25" customHeight="1">
      <c r="A45" s="104">
        <v>45</v>
      </c>
      <c r="B45" s="94" t="s">
        <v>60</v>
      </c>
      <c r="C45" s="171">
        <v>22800</v>
      </c>
      <c r="D45" s="132"/>
      <c r="E45" s="132">
        <f t="shared" si="0"/>
        <v>22800</v>
      </c>
      <c r="F45" s="131"/>
      <c r="G45" s="127"/>
      <c r="H45" s="132">
        <f t="shared" si="1"/>
        <v>22800</v>
      </c>
      <c r="I45"/>
    </row>
    <row r="46" spans="1:9" s="112" customFormat="1" ht="29.25" customHeight="1">
      <c r="A46" s="104">
        <v>46</v>
      </c>
      <c r="B46" s="94" t="s">
        <v>49</v>
      </c>
      <c r="C46" s="171">
        <v>17500</v>
      </c>
      <c r="D46" s="132"/>
      <c r="E46" s="132">
        <f t="shared" si="0"/>
        <v>17500</v>
      </c>
      <c r="F46" s="131"/>
      <c r="G46" s="127"/>
      <c r="H46" s="132">
        <f t="shared" si="1"/>
        <v>17500</v>
      </c>
      <c r="I46"/>
    </row>
    <row r="47" spans="1:9" s="112" customFormat="1" ht="29.25" customHeight="1">
      <c r="A47" s="104">
        <v>47</v>
      </c>
      <c r="B47" s="187" t="s">
        <v>96</v>
      </c>
      <c r="C47" s="188">
        <v>20500</v>
      </c>
      <c r="D47" s="188"/>
      <c r="E47" s="132">
        <f t="shared" si="0"/>
        <v>20500</v>
      </c>
      <c r="F47" s="188"/>
      <c r="G47" s="189"/>
      <c r="H47" s="132">
        <f t="shared" si="1"/>
        <v>20500</v>
      </c>
    </row>
    <row r="48" spans="1:9" s="116" customFormat="1" ht="29.25" customHeight="1">
      <c r="A48" s="104">
        <v>48</v>
      </c>
      <c r="B48" s="187" t="s">
        <v>97</v>
      </c>
      <c r="C48" s="199">
        <v>0</v>
      </c>
      <c r="D48" s="199"/>
      <c r="E48" s="196">
        <f t="shared" si="0"/>
        <v>0</v>
      </c>
      <c r="F48" s="199"/>
      <c r="G48" s="200"/>
      <c r="H48" s="196">
        <f t="shared" si="1"/>
        <v>0</v>
      </c>
      <c r="I48"/>
    </row>
    <row r="49" spans="1:9" s="112" customFormat="1" ht="29.25" customHeight="1">
      <c r="A49" s="104">
        <v>49</v>
      </c>
      <c r="B49" s="94" t="s">
        <v>5</v>
      </c>
      <c r="C49" s="171">
        <v>0</v>
      </c>
      <c r="D49" s="132"/>
      <c r="E49" s="132">
        <f t="shared" si="0"/>
        <v>0</v>
      </c>
      <c r="F49" s="131"/>
      <c r="G49" s="127"/>
      <c r="H49" s="132">
        <f t="shared" si="1"/>
        <v>0</v>
      </c>
    </row>
    <row r="50" spans="1:9" s="116" customFormat="1" ht="29.25" customHeight="1">
      <c r="A50" s="104">
        <v>50</v>
      </c>
      <c r="B50" s="94" t="s">
        <v>27</v>
      </c>
      <c r="C50" s="171">
        <v>0</v>
      </c>
      <c r="D50" s="132"/>
      <c r="E50" s="132">
        <f t="shared" si="0"/>
        <v>0</v>
      </c>
      <c r="F50" s="131"/>
      <c r="G50" s="127"/>
      <c r="H50" s="132">
        <f t="shared" si="1"/>
        <v>0</v>
      </c>
      <c r="I50"/>
    </row>
    <row r="51" spans="1:9" s="116" customFormat="1" ht="29.25" customHeight="1">
      <c r="A51" s="104">
        <v>51</v>
      </c>
      <c r="B51" s="94" t="s">
        <v>142</v>
      </c>
      <c r="C51" s="171">
        <v>4300</v>
      </c>
      <c r="D51" s="132"/>
      <c r="E51" s="132">
        <f t="shared" si="0"/>
        <v>4300</v>
      </c>
      <c r="F51" s="131"/>
      <c r="G51" s="127"/>
      <c r="H51" s="132">
        <f t="shared" si="1"/>
        <v>4300</v>
      </c>
      <c r="I51"/>
    </row>
    <row r="52" spans="1:9">
      <c r="A52" s="173"/>
      <c r="B52" s="173"/>
      <c r="C52" s="182">
        <f>SUM(C4:C51)</f>
        <v>871900</v>
      </c>
      <c r="D52" s="182">
        <f>SUM(D4:D51)</f>
        <v>17328</v>
      </c>
      <c r="E52" s="182">
        <f>SUM(E4:E51)</f>
        <v>854572</v>
      </c>
      <c r="F52" s="182">
        <f>SUM(F4:F51)</f>
        <v>0</v>
      </c>
      <c r="H52" s="182">
        <f>SUM(H4:H51)</f>
        <v>854572</v>
      </c>
    </row>
    <row r="53" spans="1:9">
      <c r="A53" s="173"/>
      <c r="B53" s="173"/>
      <c r="C53" s="181"/>
      <c r="D53" s="180"/>
      <c r="E53" s="180"/>
      <c r="F53" s="183"/>
      <c r="H53" s="180"/>
    </row>
  </sheetData>
  <autoFilter ref="A3:H52">
    <sortState ref="A4:L52">
      <sortCondition ref="A3:A52"/>
    </sortState>
  </autoFilter>
  <sortState ref="A4:L54">
    <sortCondition ref="A4"/>
  </sortState>
  <pageMargins left="0.70866141732283472" right="0.11811023622047245" top="0.35433070866141736" bottom="0.15748031496062992" header="0.31496062992125984" footer="0.31496062992125984"/>
  <pageSetup scale="4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H63"/>
  <sheetViews>
    <sheetView zoomScale="55" zoomScaleNormal="55" workbookViewId="0">
      <selection activeCell="A67" sqref="A67:XFD81"/>
    </sheetView>
  </sheetViews>
  <sheetFormatPr defaultColWidth="9.140625" defaultRowHeight="15"/>
  <cols>
    <col min="1" max="1" width="2.28515625" style="2" customWidth="1"/>
    <col min="2" max="2" width="17" style="5" customWidth="1"/>
    <col min="3" max="3" width="87.5703125" style="2" customWidth="1"/>
    <col min="4" max="4" width="29" style="2" customWidth="1"/>
    <col min="5" max="5" width="32" style="2" customWidth="1"/>
    <col min="6" max="6" width="29.42578125" style="2" bestFit="1" customWidth="1"/>
    <col min="7" max="7" width="27.42578125" style="2" bestFit="1" customWidth="1"/>
    <col min="8" max="8" width="51.42578125" style="2" customWidth="1"/>
    <col min="9" max="9" width="18.85546875" style="2" customWidth="1"/>
    <col min="10" max="16384" width="9.140625" style="2"/>
  </cols>
  <sheetData>
    <row r="1" spans="2:8">
      <c r="B1" s="4"/>
      <c r="C1" s="1"/>
      <c r="D1" s="1"/>
      <c r="E1" s="1"/>
      <c r="F1" s="1"/>
      <c r="G1" s="1"/>
      <c r="H1" s="1"/>
    </row>
    <row r="2" spans="2:8" s="66" customFormat="1" ht="36">
      <c r="B2" s="209" t="s">
        <v>99</v>
      </c>
      <c r="C2" s="209"/>
      <c r="D2" s="209"/>
      <c r="E2" s="209"/>
      <c r="F2" s="209"/>
      <c r="G2" s="209"/>
      <c r="H2" s="209"/>
    </row>
    <row r="3" spans="2:8" ht="28.5">
      <c r="B3" s="30"/>
      <c r="C3" s="210" t="s">
        <v>62</v>
      </c>
      <c r="D3" s="210"/>
      <c r="E3" s="210"/>
      <c r="F3" s="210"/>
      <c r="G3" s="210"/>
      <c r="H3" s="31"/>
    </row>
    <row r="4" spans="2:8" ht="28.5">
      <c r="B4" s="62" t="s">
        <v>8</v>
      </c>
      <c r="C4" s="63" t="s">
        <v>0</v>
      </c>
      <c r="D4" s="63" t="s">
        <v>9</v>
      </c>
      <c r="E4" s="63" t="s">
        <v>10</v>
      </c>
      <c r="F4" s="63" t="s">
        <v>11</v>
      </c>
      <c r="G4" s="64" t="s">
        <v>12</v>
      </c>
      <c r="H4" s="31"/>
    </row>
    <row r="5" spans="2:8" ht="31.5">
      <c r="B5" s="99">
        <v>1</v>
      </c>
      <c r="C5" s="142" t="s">
        <v>103</v>
      </c>
      <c r="D5" s="119">
        <v>5209</v>
      </c>
      <c r="E5" s="140">
        <v>1.1000000000000001</v>
      </c>
      <c r="F5" s="140">
        <f>D5*E5</f>
        <v>5729.9000000000005</v>
      </c>
      <c r="G5" s="106"/>
      <c r="H5" s="106"/>
    </row>
    <row r="6" spans="2:8" ht="31.5">
      <c r="B6" s="99">
        <v>2</v>
      </c>
      <c r="C6" s="119" t="s">
        <v>114</v>
      </c>
      <c r="D6" s="119">
        <v>2043</v>
      </c>
      <c r="E6" s="140">
        <v>1.5</v>
      </c>
      <c r="F6" s="140">
        <f t="shared" ref="F6:F11" si="0">D6*E6</f>
        <v>3064.5</v>
      </c>
      <c r="G6" s="119"/>
      <c r="H6" s="106"/>
    </row>
    <row r="7" spans="2:8" ht="31.5">
      <c r="B7" s="99">
        <v>3</v>
      </c>
      <c r="C7" s="119" t="s">
        <v>104</v>
      </c>
      <c r="D7" s="119">
        <v>1572</v>
      </c>
      <c r="E7" s="140">
        <v>1.1000000000000001</v>
      </c>
      <c r="F7" s="140">
        <f t="shared" si="0"/>
        <v>1729.2</v>
      </c>
      <c r="G7" s="120"/>
      <c r="H7" s="106"/>
    </row>
    <row r="8" spans="2:8" ht="31.5">
      <c r="B8" s="99">
        <v>4</v>
      </c>
      <c r="C8" s="119" t="s">
        <v>105</v>
      </c>
      <c r="D8" s="119">
        <v>2181</v>
      </c>
      <c r="E8" s="140">
        <v>2.1</v>
      </c>
      <c r="F8" s="140">
        <f t="shared" si="0"/>
        <v>4580.1000000000004</v>
      </c>
      <c r="G8" s="120"/>
      <c r="H8" s="106"/>
    </row>
    <row r="9" spans="2:8" ht="31.5">
      <c r="B9" s="99">
        <v>5</v>
      </c>
      <c r="C9" s="119" t="s">
        <v>106</v>
      </c>
      <c r="D9" s="119">
        <v>800</v>
      </c>
      <c r="E9" s="140">
        <v>1.1000000000000001</v>
      </c>
      <c r="F9" s="140">
        <f t="shared" si="0"/>
        <v>880.00000000000011</v>
      </c>
      <c r="G9" s="120"/>
      <c r="H9" s="106"/>
    </row>
    <row r="10" spans="2:8" ht="31.5">
      <c r="B10" s="99">
        <v>6</v>
      </c>
      <c r="C10" s="119" t="s">
        <v>107</v>
      </c>
      <c r="D10" s="119">
        <v>2931</v>
      </c>
      <c r="E10" s="140">
        <v>2.1</v>
      </c>
      <c r="F10" s="140">
        <f t="shared" si="0"/>
        <v>6155.1</v>
      </c>
      <c r="G10" s="120"/>
      <c r="H10" s="106"/>
    </row>
    <row r="11" spans="2:8" ht="31.5">
      <c r="B11" s="99">
        <v>7</v>
      </c>
      <c r="C11" s="119" t="s">
        <v>110</v>
      </c>
      <c r="D11" s="119">
        <v>1218</v>
      </c>
      <c r="E11" s="140">
        <v>2.1</v>
      </c>
      <c r="F11" s="140">
        <f t="shared" si="0"/>
        <v>2557.8000000000002</v>
      </c>
      <c r="G11" s="120"/>
      <c r="H11" s="106"/>
    </row>
    <row r="12" spans="2:8" ht="31.5">
      <c r="B12" s="99"/>
      <c r="C12" s="119"/>
      <c r="D12" s="105">
        <f>SUM(D5:D11)</f>
        <v>15954</v>
      </c>
      <c r="E12" s="106"/>
      <c r="F12" s="107">
        <f>SUM(F5:F11)</f>
        <v>24696.600000000002</v>
      </c>
      <c r="G12" s="106"/>
      <c r="H12" s="124">
        <f>F12/D12</f>
        <v>1.5479879654005266</v>
      </c>
    </row>
    <row r="13" spans="2:8" ht="31.5">
      <c r="B13" s="108"/>
      <c r="C13" s="119"/>
      <c r="D13" s="102"/>
      <c r="E13" s="102"/>
      <c r="F13" s="102"/>
      <c r="G13" s="102"/>
      <c r="H13" s="102"/>
    </row>
    <row r="14" spans="2:8" ht="28.5">
      <c r="B14" s="210" t="s">
        <v>71</v>
      </c>
      <c r="C14" s="210"/>
      <c r="D14" s="210"/>
      <c r="E14" s="210"/>
      <c r="F14" s="210"/>
      <c r="G14" s="210"/>
      <c r="H14" s="114"/>
    </row>
    <row r="15" spans="2:8" ht="28.5">
      <c r="B15" s="109" t="s">
        <v>8</v>
      </c>
      <c r="C15" s="110" t="s">
        <v>0</v>
      </c>
      <c r="D15" s="110" t="s">
        <v>9</v>
      </c>
      <c r="E15" s="110" t="s">
        <v>19</v>
      </c>
      <c r="F15" s="111" t="s">
        <v>16</v>
      </c>
      <c r="G15" s="102" t="s">
        <v>12</v>
      </c>
      <c r="H15" s="102"/>
    </row>
    <row r="16" spans="2:8" ht="31.5">
      <c r="B16" s="99">
        <v>1</v>
      </c>
      <c r="C16" s="142" t="s">
        <v>111</v>
      </c>
      <c r="D16" s="119">
        <v>3314</v>
      </c>
      <c r="E16" s="120">
        <v>2.5</v>
      </c>
      <c r="F16" s="120">
        <f t="shared" ref="F16:F21" si="1">D16*E16</f>
        <v>8285</v>
      </c>
      <c r="G16" s="106"/>
      <c r="H16" s="106"/>
    </row>
    <row r="17" spans="2:8" ht="31.5">
      <c r="B17" s="141">
        <v>2</v>
      </c>
      <c r="C17" s="119" t="s">
        <v>109</v>
      </c>
      <c r="D17" s="142">
        <v>1293</v>
      </c>
      <c r="E17" s="120">
        <v>2.5</v>
      </c>
      <c r="F17" s="120">
        <f t="shared" si="1"/>
        <v>3232.5</v>
      </c>
      <c r="G17" s="102"/>
      <c r="H17" s="102"/>
    </row>
    <row r="18" spans="2:8" ht="31.5">
      <c r="B18" s="99">
        <v>3</v>
      </c>
      <c r="C18" s="119" t="s">
        <v>104</v>
      </c>
      <c r="D18" s="142">
        <v>972</v>
      </c>
      <c r="E18" s="120">
        <v>2.5</v>
      </c>
      <c r="F18" s="120">
        <f t="shared" si="1"/>
        <v>2430</v>
      </c>
      <c r="G18" s="102"/>
      <c r="H18" s="102"/>
    </row>
    <row r="19" spans="2:8" ht="31.5">
      <c r="B19" s="141">
        <v>4</v>
      </c>
      <c r="C19" s="119" t="s">
        <v>105</v>
      </c>
      <c r="D19" s="142">
        <v>1164</v>
      </c>
      <c r="E19" s="120">
        <v>2.5</v>
      </c>
      <c r="F19" s="120">
        <f t="shared" si="1"/>
        <v>2910</v>
      </c>
      <c r="G19" s="102"/>
      <c r="H19" s="102"/>
    </row>
    <row r="20" spans="2:8" ht="31.5">
      <c r="B20" s="99">
        <v>5</v>
      </c>
      <c r="C20" s="119" t="s">
        <v>106</v>
      </c>
      <c r="D20" s="142">
        <v>403</v>
      </c>
      <c r="E20" s="120">
        <v>2.5</v>
      </c>
      <c r="F20" s="120">
        <f t="shared" si="1"/>
        <v>1007.5</v>
      </c>
      <c r="G20" s="102"/>
      <c r="H20" s="102"/>
    </row>
    <row r="21" spans="2:8" ht="31.5">
      <c r="B21" s="141">
        <v>6</v>
      </c>
      <c r="C21" s="119" t="s">
        <v>107</v>
      </c>
      <c r="D21" s="142">
        <v>1641</v>
      </c>
      <c r="E21" s="120">
        <v>2.5</v>
      </c>
      <c r="F21" s="120">
        <f t="shared" si="1"/>
        <v>4102.5</v>
      </c>
      <c r="G21" s="102"/>
      <c r="H21" s="102"/>
    </row>
    <row r="22" spans="2:8" ht="31.5">
      <c r="B22" s="141">
        <v>7</v>
      </c>
      <c r="C22" s="119" t="s">
        <v>112</v>
      </c>
      <c r="D22" s="142">
        <v>289</v>
      </c>
      <c r="E22" s="120">
        <v>2</v>
      </c>
      <c r="F22" s="120">
        <f t="shared" ref="F22" si="2">D22*E22</f>
        <v>578</v>
      </c>
      <c r="G22" s="102"/>
      <c r="H22" s="102"/>
    </row>
    <row r="23" spans="2:8" ht="31.5">
      <c r="B23" s="99">
        <v>7</v>
      </c>
      <c r="C23" s="119" t="s">
        <v>28</v>
      </c>
      <c r="D23" s="142">
        <v>45</v>
      </c>
      <c r="E23" s="120">
        <v>2</v>
      </c>
      <c r="F23" s="120">
        <f t="shared" ref="F23" si="3">D23*E23</f>
        <v>90</v>
      </c>
      <c r="G23" s="102"/>
      <c r="H23" s="102"/>
    </row>
    <row r="24" spans="2:8" ht="33.75">
      <c r="B24" s="99"/>
      <c r="C24" s="100"/>
      <c r="D24" s="121">
        <f>SUM(D16:D23)</f>
        <v>9121</v>
      </c>
      <c r="E24" s="122"/>
      <c r="F24" s="121">
        <f>SUM(F16:F23)</f>
        <v>22635.5</v>
      </c>
      <c r="G24" s="123"/>
      <c r="H24" s="125">
        <f>F24/D24</f>
        <v>2.4816906041004274</v>
      </c>
    </row>
    <row r="25" spans="2:8" ht="28.5">
      <c r="B25" s="108"/>
      <c r="C25" s="102"/>
      <c r="D25" s="102"/>
      <c r="E25" s="102"/>
      <c r="F25" s="102"/>
      <c r="G25" s="102"/>
      <c r="H25" s="102"/>
    </row>
    <row r="26" spans="2:8" ht="28.5">
      <c r="B26" s="210" t="s">
        <v>77</v>
      </c>
      <c r="C26" s="210"/>
      <c r="D26" s="210"/>
      <c r="E26" s="210"/>
      <c r="F26" s="210"/>
      <c r="G26" s="210"/>
      <c r="H26" s="114"/>
    </row>
    <row r="27" spans="2:8" ht="28.5">
      <c r="B27" s="109" t="s">
        <v>8</v>
      </c>
      <c r="C27" s="110" t="s">
        <v>0</v>
      </c>
      <c r="D27" s="110" t="s">
        <v>9</v>
      </c>
      <c r="E27" s="110" t="s">
        <v>19</v>
      </c>
      <c r="F27" s="111" t="s">
        <v>16</v>
      </c>
      <c r="G27" s="102" t="s">
        <v>12</v>
      </c>
      <c r="H27" s="102"/>
    </row>
    <row r="28" spans="2:8" ht="31.5">
      <c r="B28" s="99">
        <v>1</v>
      </c>
      <c r="C28" s="142" t="s">
        <v>111</v>
      </c>
      <c r="D28" s="119">
        <v>3244</v>
      </c>
      <c r="E28" s="120">
        <v>2.5</v>
      </c>
      <c r="F28" s="120">
        <f t="shared" ref="F28:F33" si="4">D28*E28</f>
        <v>8110</v>
      </c>
      <c r="G28" s="106"/>
      <c r="H28" s="106"/>
    </row>
    <row r="29" spans="2:8" ht="31.5">
      <c r="B29" s="141">
        <v>2</v>
      </c>
      <c r="C29" s="119" t="s">
        <v>109</v>
      </c>
      <c r="D29" s="142">
        <v>1231</v>
      </c>
      <c r="E29" s="120">
        <v>2.5</v>
      </c>
      <c r="F29" s="120">
        <f t="shared" si="4"/>
        <v>3077.5</v>
      </c>
      <c r="G29" s="102"/>
      <c r="H29" s="102"/>
    </row>
    <row r="30" spans="2:8" ht="31.5">
      <c r="B30" s="99">
        <v>3</v>
      </c>
      <c r="C30" s="119" t="s">
        <v>104</v>
      </c>
      <c r="D30" s="142">
        <v>561</v>
      </c>
      <c r="E30" s="120">
        <v>2.5</v>
      </c>
      <c r="F30" s="120">
        <f t="shared" si="4"/>
        <v>1402.5</v>
      </c>
      <c r="G30" s="102"/>
      <c r="H30" s="102"/>
    </row>
    <row r="31" spans="2:8" ht="31.5">
      <c r="B31" s="141">
        <v>4</v>
      </c>
      <c r="C31" s="119" t="s">
        <v>105</v>
      </c>
      <c r="D31" s="142">
        <v>1015</v>
      </c>
      <c r="E31" s="120">
        <v>2.5</v>
      </c>
      <c r="F31" s="120">
        <f t="shared" si="4"/>
        <v>2537.5</v>
      </c>
      <c r="G31" s="102"/>
      <c r="H31" s="102"/>
    </row>
    <row r="32" spans="2:8" ht="31.5">
      <c r="B32" s="99">
        <v>5</v>
      </c>
      <c r="C32" s="119" t="s">
        <v>106</v>
      </c>
      <c r="D32" s="142">
        <v>398</v>
      </c>
      <c r="E32" s="120">
        <v>2.5</v>
      </c>
      <c r="F32" s="120">
        <f t="shared" si="4"/>
        <v>995</v>
      </c>
      <c r="G32" s="102"/>
      <c r="H32" s="102"/>
    </row>
    <row r="33" spans="2:8" ht="31.5">
      <c r="B33" s="141">
        <v>6</v>
      </c>
      <c r="C33" s="119" t="s">
        <v>107</v>
      </c>
      <c r="D33" s="142">
        <v>1293</v>
      </c>
      <c r="E33" s="120">
        <v>2.5</v>
      </c>
      <c r="F33" s="120">
        <f t="shared" si="4"/>
        <v>3232.5</v>
      </c>
      <c r="G33" s="102"/>
      <c r="H33" s="102"/>
    </row>
    <row r="34" spans="2:8" ht="31.5">
      <c r="B34" s="141">
        <v>6</v>
      </c>
      <c r="C34" s="119" t="s">
        <v>112</v>
      </c>
      <c r="D34" s="142">
        <v>271</v>
      </c>
      <c r="E34" s="120">
        <v>2</v>
      </c>
      <c r="F34" s="120">
        <f t="shared" ref="F34" si="5">D34*E34</f>
        <v>542</v>
      </c>
      <c r="G34" s="102"/>
      <c r="H34" s="102"/>
    </row>
    <row r="35" spans="2:8" ht="31.5">
      <c r="B35" s="99">
        <v>7</v>
      </c>
      <c r="C35" s="119" t="s">
        <v>28</v>
      </c>
      <c r="D35" s="142">
        <v>28</v>
      </c>
      <c r="E35" s="120">
        <v>2</v>
      </c>
      <c r="F35" s="120">
        <f t="shared" ref="F35" si="6">D35*E35</f>
        <v>56</v>
      </c>
      <c r="G35" s="102"/>
      <c r="H35" s="102"/>
    </row>
    <row r="36" spans="2:8" ht="33.75">
      <c r="B36" s="99"/>
      <c r="C36" s="119"/>
      <c r="D36" s="121">
        <f>SUM(D28:D35)</f>
        <v>8041</v>
      </c>
      <c r="E36" s="122"/>
      <c r="F36" s="121">
        <f>SUM(F28:F35)</f>
        <v>19953</v>
      </c>
      <c r="G36" s="123"/>
      <c r="H36" s="125">
        <f>F36/D36</f>
        <v>2.4814077851013554</v>
      </c>
    </row>
    <row r="37" spans="2:8" ht="27.75">
      <c r="B37" s="210" t="s">
        <v>13</v>
      </c>
      <c r="C37" s="210"/>
      <c r="D37" s="210"/>
      <c r="E37" s="210"/>
      <c r="F37" s="210"/>
      <c r="G37" s="210"/>
      <c r="H37" s="210"/>
    </row>
    <row r="38" spans="2:8" ht="28.5">
      <c r="B38" s="109" t="s">
        <v>8</v>
      </c>
      <c r="C38" s="110" t="s">
        <v>0</v>
      </c>
      <c r="D38" s="110" t="s">
        <v>9</v>
      </c>
      <c r="E38" s="110" t="s">
        <v>10</v>
      </c>
      <c r="F38" s="110" t="s">
        <v>14</v>
      </c>
      <c r="G38" s="111" t="s">
        <v>15</v>
      </c>
      <c r="H38" s="111" t="s">
        <v>16</v>
      </c>
    </row>
    <row r="39" spans="2:8" ht="31.5">
      <c r="B39" s="99">
        <v>1</v>
      </c>
      <c r="C39" s="142" t="s">
        <v>103</v>
      </c>
      <c r="D39" s="119">
        <v>5209</v>
      </c>
      <c r="E39" s="36">
        <v>5</v>
      </c>
      <c r="F39" s="36">
        <v>0.3</v>
      </c>
      <c r="G39" s="36">
        <f t="shared" ref="G39:G41" si="7">E39*F39</f>
        <v>1.5</v>
      </c>
      <c r="H39" s="101">
        <f>D39*G39</f>
        <v>7813.5</v>
      </c>
    </row>
    <row r="40" spans="2:8" ht="31.5">
      <c r="B40" s="99">
        <v>2</v>
      </c>
      <c r="C40" s="119" t="s">
        <v>114</v>
      </c>
      <c r="D40" s="119">
        <v>2523</v>
      </c>
      <c r="E40" s="36">
        <v>6</v>
      </c>
      <c r="F40" s="36">
        <v>0.3</v>
      </c>
      <c r="G40" s="36">
        <f t="shared" si="7"/>
        <v>1.7999999999999998</v>
      </c>
      <c r="H40" s="101">
        <f>D40*G40</f>
        <v>4541.3999999999996</v>
      </c>
    </row>
    <row r="41" spans="2:8" ht="31.5">
      <c r="B41" s="99">
        <v>3</v>
      </c>
      <c r="C41" s="119" t="s">
        <v>104</v>
      </c>
      <c r="D41" s="198">
        <v>1572</v>
      </c>
      <c r="E41" s="176">
        <v>3</v>
      </c>
      <c r="F41" s="176">
        <v>0.3</v>
      </c>
      <c r="G41" s="176">
        <f t="shared" si="7"/>
        <v>0.89999999999999991</v>
      </c>
      <c r="H41" s="101">
        <f t="shared" ref="H41" si="8">D41*G41</f>
        <v>1414.8</v>
      </c>
    </row>
    <row r="42" spans="2:8" ht="31.5">
      <c r="B42" s="99">
        <v>4</v>
      </c>
      <c r="C42" s="119" t="s">
        <v>105</v>
      </c>
      <c r="D42" s="198">
        <v>2181</v>
      </c>
      <c r="E42" s="176">
        <v>3</v>
      </c>
      <c r="F42" s="176">
        <v>0.3</v>
      </c>
      <c r="G42" s="176">
        <f t="shared" ref="G42" si="9">E42*F42</f>
        <v>0.89999999999999991</v>
      </c>
      <c r="H42" s="101">
        <f t="shared" ref="H42" si="10">D42*G42</f>
        <v>1962.8999999999999</v>
      </c>
    </row>
    <row r="43" spans="2:8" ht="31.5">
      <c r="B43" s="99">
        <v>5</v>
      </c>
      <c r="C43" s="119" t="s">
        <v>106</v>
      </c>
      <c r="D43" s="184">
        <v>264</v>
      </c>
      <c r="E43" s="36">
        <v>5</v>
      </c>
      <c r="F43" s="36">
        <v>0.3</v>
      </c>
      <c r="G43" s="115">
        <f>E43*F43</f>
        <v>1.5</v>
      </c>
      <c r="H43" s="185">
        <f>D43*G43</f>
        <v>396</v>
      </c>
    </row>
    <row r="44" spans="2:8" ht="31.5">
      <c r="B44" s="99">
        <v>6</v>
      </c>
      <c r="C44" s="119" t="s">
        <v>107</v>
      </c>
      <c r="D44" s="184">
        <v>2931</v>
      </c>
      <c r="E44" s="36">
        <v>5</v>
      </c>
      <c r="F44" s="36">
        <v>0.3</v>
      </c>
      <c r="G44" s="115">
        <f>E44*F44</f>
        <v>1.5</v>
      </c>
      <c r="H44" s="185">
        <f>D44*G44</f>
        <v>4396.5</v>
      </c>
    </row>
    <row r="45" spans="2:8" ht="31.5">
      <c r="B45" s="99">
        <v>6</v>
      </c>
      <c r="C45" s="119" t="s">
        <v>115</v>
      </c>
      <c r="D45" s="184">
        <f>2931+2181</f>
        <v>5112</v>
      </c>
      <c r="E45" s="36">
        <v>1</v>
      </c>
      <c r="F45" s="36">
        <v>0.4</v>
      </c>
      <c r="G45" s="115">
        <f>E45*F45</f>
        <v>0.4</v>
      </c>
      <c r="H45" s="185">
        <f>D45*G45</f>
        <v>2044.8000000000002</v>
      </c>
    </row>
    <row r="46" spans="2:8" ht="31.5">
      <c r="B46" s="99">
        <v>7</v>
      </c>
      <c r="C46" s="119" t="s">
        <v>108</v>
      </c>
      <c r="D46" s="184">
        <v>1238</v>
      </c>
      <c r="E46" s="36">
        <v>3</v>
      </c>
      <c r="F46" s="36">
        <v>0.3</v>
      </c>
      <c r="G46" s="115">
        <f>E46*F46</f>
        <v>0.89999999999999991</v>
      </c>
      <c r="H46" s="185">
        <f>D46*G46</f>
        <v>1114.1999999999998</v>
      </c>
    </row>
    <row r="47" spans="2:8" ht="31.5">
      <c r="B47" s="99">
        <v>8</v>
      </c>
      <c r="C47" s="119" t="s">
        <v>35</v>
      </c>
      <c r="D47" s="184">
        <v>15918</v>
      </c>
      <c r="E47" s="36">
        <v>0.1</v>
      </c>
      <c r="F47" s="36">
        <v>0.3</v>
      </c>
      <c r="G47" s="115">
        <f>E47*F47</f>
        <v>0.03</v>
      </c>
      <c r="H47" s="185">
        <f>D47*G47</f>
        <v>477.53999999999996</v>
      </c>
    </row>
    <row r="48" spans="2:8" s="7" customFormat="1" ht="32.25" customHeight="1">
      <c r="B48" s="37"/>
      <c r="C48" s="38"/>
      <c r="D48" s="105">
        <f>D39+D40+D41+D42+D43+D44+D46</f>
        <v>15918</v>
      </c>
      <c r="E48" s="39"/>
      <c r="F48" s="39"/>
      <c r="G48" s="39"/>
      <c r="H48" s="39">
        <f>SUM(H39:H47)</f>
        <v>24161.64</v>
      </c>
    </row>
    <row r="49" spans="2:8" ht="28.5">
      <c r="B49" s="30"/>
      <c r="C49" s="31"/>
      <c r="D49" s="31"/>
      <c r="E49" s="31"/>
      <c r="F49" s="31"/>
      <c r="G49" s="31"/>
      <c r="H49" s="31"/>
    </row>
    <row r="50" spans="2:8" ht="28.5">
      <c r="B50" s="30"/>
      <c r="C50" s="31"/>
      <c r="D50" s="31"/>
      <c r="E50" s="31"/>
      <c r="F50" s="36"/>
      <c r="G50" s="31"/>
      <c r="H50" s="31"/>
    </row>
    <row r="51" spans="2:8" ht="28.5">
      <c r="B51" s="30"/>
      <c r="C51" s="211" t="s">
        <v>23</v>
      </c>
      <c r="D51" s="212"/>
      <c r="E51" s="213"/>
      <c r="F51" s="40"/>
      <c r="G51" s="31"/>
      <c r="H51" s="126">
        <f>H48/D48</f>
        <v>1.5178816434225404</v>
      </c>
    </row>
    <row r="52" spans="2:8" ht="28.5">
      <c r="B52" s="30"/>
      <c r="C52" s="41"/>
      <c r="D52" s="41"/>
      <c r="E52" s="41"/>
      <c r="F52" s="41"/>
      <c r="G52" s="41"/>
      <c r="H52" s="41"/>
    </row>
    <row r="53" spans="2:8" ht="55.5">
      <c r="B53" s="32" t="s">
        <v>8</v>
      </c>
      <c r="C53" s="33" t="s">
        <v>0</v>
      </c>
      <c r="D53" s="42" t="s">
        <v>1</v>
      </c>
      <c r="E53" s="32" t="s">
        <v>2</v>
      </c>
      <c r="F53" s="33" t="s">
        <v>3</v>
      </c>
      <c r="G53" s="204" t="s">
        <v>113</v>
      </c>
      <c r="H53" s="41" t="s">
        <v>61</v>
      </c>
    </row>
    <row r="54" spans="2:8" ht="33.75">
      <c r="B54" s="34">
        <v>1</v>
      </c>
      <c r="C54" s="35" t="s">
        <v>63</v>
      </c>
      <c r="D54" s="128"/>
      <c r="E54" s="43">
        <f>F12</f>
        <v>24696.600000000002</v>
      </c>
      <c r="F54" s="44">
        <f>E54-D54</f>
        <v>24696.600000000002</v>
      </c>
      <c r="G54" s="202"/>
      <c r="H54" s="201">
        <f>F54+G54</f>
        <v>24696.600000000002</v>
      </c>
    </row>
    <row r="55" spans="2:8" ht="33.75">
      <c r="B55" s="34">
        <v>2</v>
      </c>
      <c r="C55" s="35" t="s">
        <v>17</v>
      </c>
      <c r="D55" s="128"/>
      <c r="E55" s="43">
        <f>H48</f>
        <v>24161.64</v>
      </c>
      <c r="F55" s="44">
        <f>E55-D55</f>
        <v>24161.64</v>
      </c>
      <c r="G55" s="207">
        <v>300</v>
      </c>
      <c r="H55" s="201">
        <f t="shared" ref="H55:H57" si="11">F55+G55</f>
        <v>24461.64</v>
      </c>
    </row>
    <row r="56" spans="2:8" ht="33.75">
      <c r="B56" s="34">
        <v>3</v>
      </c>
      <c r="C56" s="35" t="s">
        <v>71</v>
      </c>
      <c r="D56" s="128"/>
      <c r="E56" s="43">
        <f>F24</f>
        <v>22635.5</v>
      </c>
      <c r="F56" s="44">
        <f>E56-D56</f>
        <v>22635.5</v>
      </c>
      <c r="G56" s="203">
        <v>650</v>
      </c>
      <c r="H56" s="201">
        <f t="shared" si="11"/>
        <v>23285.5</v>
      </c>
    </row>
    <row r="57" spans="2:8" ht="33.75">
      <c r="B57" s="34">
        <v>4</v>
      </c>
      <c r="C57" s="35" t="s">
        <v>77</v>
      </c>
      <c r="D57" s="128">
        <v>5000</v>
      </c>
      <c r="E57" s="43">
        <f>F36+1000</f>
        <v>20953</v>
      </c>
      <c r="F57" s="44">
        <f>E57-D57</f>
        <v>15953</v>
      </c>
      <c r="G57" s="203">
        <v>800</v>
      </c>
      <c r="H57" s="201">
        <f t="shared" si="11"/>
        <v>16753</v>
      </c>
    </row>
    <row r="58" spans="2:8" ht="28.5">
      <c r="B58" s="34"/>
      <c r="C58" s="35"/>
      <c r="D58" s="45"/>
      <c r="E58" s="43"/>
      <c r="F58" s="44"/>
      <c r="G58" s="87"/>
      <c r="H58" s="31"/>
    </row>
    <row r="59" spans="2:8" ht="28.5">
      <c r="B59" s="30"/>
      <c r="C59" s="31"/>
      <c r="D59" s="46">
        <f>SUM(D54:D57)</f>
        <v>5000</v>
      </c>
      <c r="E59" s="46">
        <f>SUM(E54:E57)</f>
        <v>92446.74</v>
      </c>
      <c r="F59" s="46">
        <f>SUM(F54:F57)</f>
        <v>87446.74</v>
      </c>
      <c r="G59" s="46">
        <f t="shared" ref="G59:H59" si="12">SUM(G54:G57)</f>
        <v>1750</v>
      </c>
      <c r="H59" s="46">
        <f t="shared" si="12"/>
        <v>89196.74</v>
      </c>
    </row>
    <row r="60" spans="2:8" ht="28.5">
      <c r="B60" s="30"/>
      <c r="C60" s="41"/>
      <c r="D60" s="41"/>
      <c r="E60" s="41"/>
      <c r="F60" s="41"/>
      <c r="G60" s="41"/>
      <c r="H60" s="41"/>
    </row>
    <row r="61" spans="2:8" ht="28.5">
      <c r="B61" s="30"/>
      <c r="C61" s="31"/>
      <c r="D61" s="31"/>
      <c r="E61" s="46">
        <f>E59</f>
        <v>92446.74</v>
      </c>
      <c r="F61" s="46">
        <f t="shared" ref="F61:H61" si="13">F59</f>
        <v>87446.74</v>
      </c>
      <c r="G61" s="46">
        <f t="shared" si="13"/>
        <v>1750</v>
      </c>
      <c r="H61" s="46">
        <f t="shared" si="13"/>
        <v>89196.74</v>
      </c>
    </row>
    <row r="62" spans="2:8">
      <c r="B62" s="4"/>
      <c r="C62" s="1"/>
      <c r="D62" s="1"/>
      <c r="E62" s="1"/>
      <c r="F62" s="1"/>
      <c r="G62" s="1"/>
      <c r="H62" s="1"/>
    </row>
    <row r="63" spans="2:8">
      <c r="B63" s="4"/>
      <c r="C63" s="1"/>
      <c r="D63" s="1"/>
      <c r="E63" s="1"/>
      <c r="F63" s="1"/>
      <c r="G63" s="1"/>
      <c r="H63" s="1"/>
    </row>
  </sheetData>
  <mergeCells count="6">
    <mergeCell ref="C51:E51"/>
    <mergeCell ref="B2:H2"/>
    <mergeCell ref="C3:G3"/>
    <mergeCell ref="B14:G14"/>
    <mergeCell ref="B37:H37"/>
    <mergeCell ref="B26:G26"/>
  </mergeCells>
  <pageMargins left="0.70866141732283472" right="0.70866141732283472" top="0.74803149606299213" bottom="0.74803149606299213" header="0.31496062992125984" footer="0.31496062992125984"/>
  <pageSetup scale="3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L64"/>
  <sheetViews>
    <sheetView topLeftCell="A52" zoomScale="85" zoomScaleNormal="85" workbookViewId="0">
      <selection activeCell="I60" sqref="I60"/>
    </sheetView>
  </sheetViews>
  <sheetFormatPr defaultColWidth="9.140625" defaultRowHeight="15"/>
  <cols>
    <col min="1" max="1" width="2.28515625" style="2" customWidth="1"/>
    <col min="2" max="2" width="75.5703125" style="2" customWidth="1"/>
    <col min="3" max="3" width="22.42578125" style="2" customWidth="1"/>
    <col min="4" max="4" width="25.28515625" style="2" customWidth="1"/>
    <col min="5" max="5" width="22.42578125" style="2" bestFit="1" customWidth="1"/>
    <col min="6" max="6" width="22.42578125" style="2" customWidth="1"/>
    <col min="7" max="8" width="22.42578125" style="2" bestFit="1" customWidth="1"/>
    <col min="9" max="9" width="24.28515625" style="3" customWidth="1"/>
    <col min="10" max="10" width="16.28515625" style="2" bestFit="1" customWidth="1"/>
    <col min="11" max="11" width="13.5703125" style="2" customWidth="1"/>
    <col min="12" max="16384" width="9.140625" style="2"/>
  </cols>
  <sheetData>
    <row r="1" spans="2:12" ht="23.25">
      <c r="B1" s="214" t="s">
        <v>100</v>
      </c>
      <c r="C1" s="214"/>
      <c r="D1" s="214"/>
      <c r="E1" s="214"/>
      <c r="F1" s="214"/>
      <c r="G1" s="214"/>
      <c r="H1" s="214"/>
    </row>
    <row r="4" spans="2:12" ht="15" customHeight="1"/>
    <row r="5" spans="2:12" ht="30.75" customHeight="1">
      <c r="B5" s="23" t="s">
        <v>25</v>
      </c>
      <c r="C5" s="23" t="s">
        <v>26</v>
      </c>
      <c r="D5" s="23" t="s">
        <v>4</v>
      </c>
      <c r="E5" s="23" t="s">
        <v>4</v>
      </c>
      <c r="F5" s="23" t="s">
        <v>29</v>
      </c>
      <c r="G5" s="23" t="s">
        <v>30</v>
      </c>
      <c r="H5" s="23" t="s">
        <v>34</v>
      </c>
      <c r="I5" s="55" t="s">
        <v>61</v>
      </c>
    </row>
    <row r="6" spans="2:12" ht="21">
      <c r="B6" s="206" t="str">
        <f>C15</f>
        <v>ANITHA</v>
      </c>
      <c r="C6" s="15">
        <f>C43</f>
        <v>0</v>
      </c>
      <c r="D6" s="16">
        <v>0</v>
      </c>
      <c r="E6" s="16">
        <v>50</v>
      </c>
      <c r="F6" s="24">
        <f>D6*E6</f>
        <v>0</v>
      </c>
      <c r="G6" s="24">
        <f t="shared" ref="G6:G11" si="0">C6+F6</f>
        <v>0</v>
      </c>
      <c r="H6" s="24"/>
      <c r="I6" s="129">
        <f t="shared" ref="I6:I11" si="1">G6-H6</f>
        <v>0</v>
      </c>
      <c r="J6" s="103"/>
      <c r="L6" s="49"/>
    </row>
    <row r="7" spans="2:12" ht="21">
      <c r="B7" s="16" t="s">
        <v>6</v>
      </c>
      <c r="C7" s="15">
        <f>D43</f>
        <v>11642.25</v>
      </c>
      <c r="D7" s="16">
        <v>0</v>
      </c>
      <c r="E7" s="16">
        <v>50</v>
      </c>
      <c r="F7" s="24">
        <f>D7*E7</f>
        <v>0</v>
      </c>
      <c r="G7" s="24">
        <f t="shared" si="0"/>
        <v>11642.25</v>
      </c>
      <c r="H7" s="24"/>
      <c r="I7" s="129">
        <f t="shared" si="1"/>
        <v>11642.25</v>
      </c>
      <c r="L7" s="49"/>
    </row>
    <row r="8" spans="2:12" ht="21">
      <c r="B8" s="205" t="str">
        <f>E15</f>
        <v>BHANU</v>
      </c>
      <c r="C8" s="193">
        <f>E43</f>
        <v>10286.25</v>
      </c>
      <c r="D8" s="192">
        <v>0</v>
      </c>
      <c r="E8" s="192">
        <v>50</v>
      </c>
      <c r="F8" s="194">
        <v>0</v>
      </c>
      <c r="G8" s="194">
        <f t="shared" si="0"/>
        <v>10286.25</v>
      </c>
      <c r="H8" s="194"/>
      <c r="I8" s="195">
        <f t="shared" si="1"/>
        <v>10286.25</v>
      </c>
      <c r="L8" s="49"/>
    </row>
    <row r="9" spans="2:12" ht="21">
      <c r="B9" s="206" t="str">
        <f>F15</f>
        <v>MAHI</v>
      </c>
      <c r="C9" s="15">
        <f>F43</f>
        <v>11367</v>
      </c>
      <c r="D9" s="16">
        <v>0</v>
      </c>
      <c r="E9" s="16">
        <v>50</v>
      </c>
      <c r="F9" s="24">
        <v>0</v>
      </c>
      <c r="G9" s="24">
        <f t="shared" si="0"/>
        <v>11367</v>
      </c>
      <c r="H9" s="24"/>
      <c r="I9" s="130">
        <f t="shared" si="1"/>
        <v>11367</v>
      </c>
      <c r="L9" s="49"/>
    </row>
    <row r="10" spans="2:12" ht="21">
      <c r="B10" s="16" t="s">
        <v>20</v>
      </c>
      <c r="C10" s="15">
        <f>G60</f>
        <v>21915.15</v>
      </c>
      <c r="D10" s="16">
        <v>0</v>
      </c>
      <c r="E10" s="16">
        <v>50</v>
      </c>
      <c r="F10" s="24">
        <v>0</v>
      </c>
      <c r="G10" s="24">
        <f t="shared" si="0"/>
        <v>21915.15</v>
      </c>
      <c r="H10" s="24"/>
      <c r="I10" s="129">
        <f t="shared" si="1"/>
        <v>21915.15</v>
      </c>
      <c r="J10" s="190"/>
      <c r="K10" s="191"/>
    </row>
    <row r="11" spans="2:12" ht="21">
      <c r="B11" s="16"/>
      <c r="C11" s="15"/>
      <c r="D11" s="16"/>
      <c r="E11" s="16">
        <v>50</v>
      </c>
      <c r="F11" s="24">
        <f>D11*E11</f>
        <v>0</v>
      </c>
      <c r="G11" s="24">
        <f t="shared" si="0"/>
        <v>0</v>
      </c>
      <c r="H11" s="24">
        <v>0</v>
      </c>
      <c r="I11" s="54">
        <f t="shared" si="1"/>
        <v>0</v>
      </c>
    </row>
    <row r="12" spans="2:12" ht="23.25">
      <c r="B12" s="25"/>
      <c r="C12" s="27">
        <f>SUM(C6:C11)</f>
        <v>55210.65</v>
      </c>
      <c r="D12" s="27">
        <f>SUM(D6:D11)</f>
        <v>0</v>
      </c>
      <c r="E12" s="28"/>
      <c r="F12" s="27">
        <f>SUM(F6:F11)</f>
        <v>0</v>
      </c>
      <c r="G12" s="27">
        <f>SUM(G6:G11)</f>
        <v>55210.65</v>
      </c>
      <c r="H12" s="27">
        <f>SUM(H6:H11)</f>
        <v>0</v>
      </c>
      <c r="I12" s="53">
        <f>SUM(I6:I11)</f>
        <v>55210.65</v>
      </c>
      <c r="J12" s="51"/>
    </row>
    <row r="15" spans="2:12" ht="21">
      <c r="B15" s="74" t="s">
        <v>22</v>
      </c>
      <c r="C15" s="75" t="s">
        <v>7</v>
      </c>
      <c r="D15" s="21" t="s">
        <v>6</v>
      </c>
      <c r="E15" s="75" t="s">
        <v>117</v>
      </c>
      <c r="F15" s="75" t="s">
        <v>95</v>
      </c>
      <c r="G15" s="75"/>
      <c r="H15" s="75"/>
      <c r="I15" s="75" t="s">
        <v>21</v>
      </c>
    </row>
    <row r="16" spans="2:12" ht="21">
      <c r="B16" s="67" t="s">
        <v>116</v>
      </c>
      <c r="C16" s="47">
        <v>0</v>
      </c>
      <c r="D16" s="47">
        <v>1704</v>
      </c>
      <c r="E16" s="47">
        <v>1436</v>
      </c>
      <c r="F16" s="47">
        <v>1448</v>
      </c>
      <c r="G16" s="47"/>
      <c r="H16" s="47"/>
      <c r="I16" s="47">
        <f>SUM(C16:H16)</f>
        <v>4588</v>
      </c>
    </row>
    <row r="17" spans="2:9" ht="21">
      <c r="B17" s="67" t="s">
        <v>118</v>
      </c>
      <c r="C17" s="47">
        <v>0</v>
      </c>
      <c r="D17" s="47">
        <v>302</v>
      </c>
      <c r="E17" s="47">
        <v>396</v>
      </c>
      <c r="F17" s="47">
        <v>393</v>
      </c>
      <c r="G17" s="47"/>
      <c r="H17" s="47"/>
      <c r="I17" s="47">
        <f>SUM(C17:H17)</f>
        <v>1091</v>
      </c>
    </row>
    <row r="18" spans="2:9" ht="21">
      <c r="B18" s="177" t="s">
        <v>119</v>
      </c>
      <c r="C18" s="47">
        <v>0</v>
      </c>
      <c r="D18" s="47">
        <v>530</v>
      </c>
      <c r="E18" s="47">
        <v>418</v>
      </c>
      <c r="F18" s="47">
        <v>428</v>
      </c>
      <c r="G18" s="47"/>
      <c r="H18" s="47"/>
      <c r="I18" s="47">
        <f>SUM(C18:H18)</f>
        <v>1376</v>
      </c>
    </row>
    <row r="19" spans="2:9" ht="21">
      <c r="B19" s="177" t="s">
        <v>120</v>
      </c>
      <c r="C19" s="47">
        <v>0</v>
      </c>
      <c r="D19" s="47">
        <v>622</v>
      </c>
      <c r="E19" s="47">
        <v>525</v>
      </c>
      <c r="F19" s="47">
        <v>613</v>
      </c>
      <c r="G19" s="47"/>
      <c r="H19" s="47"/>
      <c r="I19" s="47">
        <f>SUM(C19:H19)</f>
        <v>1760</v>
      </c>
    </row>
    <row r="20" spans="2:9" ht="21">
      <c r="B20" s="177" t="s">
        <v>122</v>
      </c>
      <c r="C20" s="47">
        <v>0</v>
      </c>
      <c r="D20" s="47">
        <v>97</v>
      </c>
      <c r="E20" s="47">
        <v>0</v>
      </c>
      <c r="F20" s="47">
        <v>106</v>
      </c>
      <c r="G20" s="47"/>
      <c r="H20" s="47"/>
      <c r="I20" s="47">
        <f>SUM(C20:H20)</f>
        <v>203</v>
      </c>
    </row>
    <row r="21" spans="2:9" ht="21">
      <c r="B21" s="69" t="s">
        <v>21</v>
      </c>
      <c r="C21" s="57">
        <f>SUM(C16:C18)</f>
        <v>0</v>
      </c>
      <c r="D21" s="57">
        <f>SUM(D16:D20)</f>
        <v>3255</v>
      </c>
      <c r="E21" s="57">
        <f>SUM(E16:E20)</f>
        <v>2775</v>
      </c>
      <c r="F21" s="57">
        <f>SUM(F16:F20)</f>
        <v>2988</v>
      </c>
      <c r="G21" s="57">
        <f>SUM(G17:G18)</f>
        <v>0</v>
      </c>
      <c r="H21" s="57">
        <f>SUM(H17:H18)</f>
        <v>0</v>
      </c>
      <c r="I21" s="57">
        <f>SUM(I16:I18)</f>
        <v>7055</v>
      </c>
    </row>
    <row r="22" spans="2:9" ht="21">
      <c r="B22" s="71" t="s">
        <v>24</v>
      </c>
      <c r="C22" s="58">
        <v>2.75</v>
      </c>
      <c r="D22" s="58">
        <v>2.75</v>
      </c>
      <c r="E22" s="58">
        <v>2.75</v>
      </c>
      <c r="F22" s="58">
        <v>2.75</v>
      </c>
      <c r="G22" s="58"/>
      <c r="H22" s="58"/>
      <c r="I22" s="58">
        <v>2.75</v>
      </c>
    </row>
    <row r="23" spans="2:9" ht="21">
      <c r="B23" s="72" t="s">
        <v>11</v>
      </c>
      <c r="C23" s="73">
        <f t="shared" ref="C23:H23" si="2">C21*C22</f>
        <v>0</v>
      </c>
      <c r="D23" s="73">
        <f t="shared" ref="D23:E23" si="3">D21*D22</f>
        <v>8951.25</v>
      </c>
      <c r="E23" s="73">
        <f t="shared" si="3"/>
        <v>7631.25</v>
      </c>
      <c r="F23" s="73">
        <f t="shared" ref="F23" si="4">F21*F22</f>
        <v>8217</v>
      </c>
      <c r="G23" s="73">
        <f t="shared" si="2"/>
        <v>0</v>
      </c>
      <c r="H23" s="73">
        <f t="shared" si="2"/>
        <v>0</v>
      </c>
      <c r="I23" s="73">
        <f>SUM(C23:H23)</f>
        <v>24799.5</v>
      </c>
    </row>
    <row r="24" spans="2:9" ht="21">
      <c r="B24" s="78"/>
      <c r="C24" s="79"/>
      <c r="D24" s="79"/>
      <c r="E24" s="79"/>
      <c r="F24" s="79"/>
      <c r="G24" s="79"/>
      <c r="H24" s="79"/>
      <c r="I24" s="79"/>
    </row>
    <row r="25" spans="2:9" ht="21">
      <c r="B25" s="88"/>
      <c r="C25" s="89"/>
      <c r="D25" s="89"/>
      <c r="E25" s="89"/>
      <c r="F25" s="89"/>
      <c r="G25" s="89"/>
      <c r="H25" s="89"/>
      <c r="I25" s="89"/>
    </row>
    <row r="26" spans="2:9" ht="21">
      <c r="B26" s="88"/>
      <c r="C26" s="89"/>
      <c r="D26" s="89"/>
      <c r="E26" s="89"/>
      <c r="F26" s="89"/>
      <c r="G26" s="89"/>
      <c r="H26" s="89"/>
      <c r="I26" s="89"/>
    </row>
    <row r="27" spans="2:9" ht="21">
      <c r="B27" s="88"/>
      <c r="C27" s="89"/>
      <c r="D27" s="89"/>
      <c r="E27" s="89"/>
      <c r="F27" s="89"/>
      <c r="G27" s="89"/>
      <c r="H27" s="89"/>
      <c r="I27" s="89"/>
    </row>
    <row r="28" spans="2:9" ht="21">
      <c r="B28" s="88"/>
      <c r="C28" s="89"/>
      <c r="D28" s="89"/>
      <c r="E28" s="89"/>
      <c r="F28" s="89"/>
      <c r="G28" s="89"/>
      <c r="H28" s="89"/>
      <c r="I28" s="89"/>
    </row>
    <row r="29" spans="2:9" ht="21">
      <c r="B29" s="74" t="s">
        <v>22</v>
      </c>
      <c r="C29" s="75" t="s">
        <v>7</v>
      </c>
      <c r="D29" s="21" t="s">
        <v>6</v>
      </c>
      <c r="E29" s="75" t="s">
        <v>117</v>
      </c>
      <c r="F29" s="75" t="s">
        <v>95</v>
      </c>
      <c r="G29" s="75"/>
      <c r="H29" s="75"/>
      <c r="I29" s="75" t="s">
        <v>21</v>
      </c>
    </row>
    <row r="30" spans="2:9" ht="21">
      <c r="B30" s="67" t="s">
        <v>121</v>
      </c>
      <c r="C30" s="47">
        <v>0</v>
      </c>
      <c r="D30" s="47">
        <v>897</v>
      </c>
      <c r="E30" s="47">
        <v>885</v>
      </c>
      <c r="F30" s="47">
        <v>1050</v>
      </c>
      <c r="G30" s="47"/>
      <c r="H30" s="47"/>
      <c r="I30" s="57">
        <f>SUM(C30:H30)</f>
        <v>2832</v>
      </c>
    </row>
    <row r="31" spans="2:9" ht="21">
      <c r="B31" s="69" t="s">
        <v>21</v>
      </c>
      <c r="C31" s="57">
        <f t="shared" ref="C31:I31" si="5">SUM(C30:C30)</f>
        <v>0</v>
      </c>
      <c r="D31" s="57">
        <f t="shared" si="5"/>
        <v>897</v>
      </c>
      <c r="E31" s="57">
        <f t="shared" si="5"/>
        <v>885</v>
      </c>
      <c r="F31" s="57">
        <f t="shared" si="5"/>
        <v>1050</v>
      </c>
      <c r="G31" s="57">
        <f t="shared" si="5"/>
        <v>0</v>
      </c>
      <c r="H31" s="57">
        <f t="shared" si="5"/>
        <v>0</v>
      </c>
      <c r="I31" s="57">
        <f t="shared" si="5"/>
        <v>2832</v>
      </c>
    </row>
    <row r="32" spans="2:9" ht="21">
      <c r="B32" s="71" t="s">
        <v>24</v>
      </c>
      <c r="C32" s="58">
        <v>3</v>
      </c>
      <c r="D32" s="58">
        <v>3</v>
      </c>
      <c r="E32" s="58">
        <v>3</v>
      </c>
      <c r="F32" s="58">
        <v>3</v>
      </c>
      <c r="G32" s="58">
        <v>3</v>
      </c>
      <c r="H32" s="58">
        <v>3</v>
      </c>
      <c r="I32" s="58">
        <v>3</v>
      </c>
    </row>
    <row r="33" spans="2:9" ht="21">
      <c r="B33" s="72" t="s">
        <v>11</v>
      </c>
      <c r="C33" s="73">
        <f t="shared" ref="C33:H33" si="6">C31*C32</f>
        <v>0</v>
      </c>
      <c r="D33" s="73">
        <f t="shared" si="6"/>
        <v>2691</v>
      </c>
      <c r="E33" s="73">
        <f t="shared" si="6"/>
        <v>2655</v>
      </c>
      <c r="F33" s="73">
        <f t="shared" si="6"/>
        <v>3150</v>
      </c>
      <c r="G33" s="73">
        <f t="shared" si="6"/>
        <v>0</v>
      </c>
      <c r="H33" s="73">
        <f t="shared" si="6"/>
        <v>0</v>
      </c>
      <c r="I33" s="73">
        <f>SUM(C33:H33)</f>
        <v>8496</v>
      </c>
    </row>
    <row r="34" spans="2:9" ht="21">
      <c r="B34" s="78"/>
      <c r="C34" s="80"/>
      <c r="D34" s="80"/>
      <c r="E34" s="80"/>
      <c r="F34" s="80"/>
      <c r="G34" s="80"/>
      <c r="H34" s="80"/>
      <c r="I34" s="79"/>
    </row>
    <row r="35" spans="2:9" ht="21">
      <c r="B35" s="90"/>
      <c r="C35" s="91"/>
      <c r="D35" s="91"/>
      <c r="E35" s="91"/>
      <c r="F35" s="91"/>
      <c r="G35" s="91"/>
      <c r="H35" s="91"/>
      <c r="I35" s="92"/>
    </row>
    <row r="36" spans="2:9" ht="21">
      <c r="B36" s="90"/>
      <c r="C36" s="91"/>
      <c r="D36" s="91"/>
      <c r="E36" s="91"/>
      <c r="F36" s="91"/>
      <c r="G36" s="91"/>
      <c r="H36" s="91"/>
      <c r="I36" s="92"/>
    </row>
    <row r="37" spans="2:9" ht="21">
      <c r="B37" s="74" t="s">
        <v>22</v>
      </c>
      <c r="C37" s="75" t="s">
        <v>7</v>
      </c>
      <c r="D37" s="21" t="s">
        <v>6</v>
      </c>
      <c r="E37" s="75" t="s">
        <v>36</v>
      </c>
      <c r="F37" s="75" t="s">
        <v>95</v>
      </c>
      <c r="G37" s="75"/>
      <c r="H37" s="75"/>
      <c r="I37" s="75" t="s">
        <v>21</v>
      </c>
    </row>
    <row r="38" spans="2:9" ht="21">
      <c r="B38" s="67" t="s">
        <v>75</v>
      </c>
      <c r="C38" s="47">
        <v>0</v>
      </c>
      <c r="D38" s="47">
        <v>0</v>
      </c>
      <c r="E38" s="47">
        <v>0</v>
      </c>
      <c r="F38" s="47"/>
      <c r="G38" s="47"/>
      <c r="H38" s="47"/>
      <c r="I38" s="57">
        <f>SUM(C38:H38)</f>
        <v>0</v>
      </c>
    </row>
    <row r="39" spans="2:9" ht="21">
      <c r="B39" s="69" t="s">
        <v>21</v>
      </c>
      <c r="C39" s="57">
        <f t="shared" ref="C39:H39" si="7">C38</f>
        <v>0</v>
      </c>
      <c r="D39" s="57">
        <f t="shared" si="7"/>
        <v>0</v>
      </c>
      <c r="E39" s="57">
        <f t="shared" si="7"/>
        <v>0</v>
      </c>
      <c r="F39" s="57">
        <f t="shared" si="7"/>
        <v>0</v>
      </c>
      <c r="G39" s="57">
        <f t="shared" si="7"/>
        <v>0</v>
      </c>
      <c r="H39" s="57">
        <f t="shared" si="7"/>
        <v>0</v>
      </c>
      <c r="I39" s="57">
        <f>SUM(C39:H39)</f>
        <v>0</v>
      </c>
    </row>
    <row r="40" spans="2:9" ht="21">
      <c r="B40" s="71" t="s">
        <v>24</v>
      </c>
      <c r="C40" s="58">
        <v>2</v>
      </c>
      <c r="D40" s="58">
        <v>2</v>
      </c>
      <c r="E40" s="58">
        <v>2</v>
      </c>
      <c r="F40" s="58">
        <v>2</v>
      </c>
      <c r="G40" s="58">
        <v>2</v>
      </c>
      <c r="H40" s="58">
        <v>2</v>
      </c>
      <c r="I40" s="58">
        <v>1</v>
      </c>
    </row>
    <row r="41" spans="2:9" ht="21">
      <c r="B41" s="72" t="s">
        <v>11</v>
      </c>
      <c r="C41" s="73">
        <f t="shared" ref="C41:H41" si="8">C39*C40</f>
        <v>0</v>
      </c>
      <c r="D41" s="73">
        <f t="shared" si="8"/>
        <v>0</v>
      </c>
      <c r="E41" s="73">
        <f t="shared" si="8"/>
        <v>0</v>
      </c>
      <c r="F41" s="73">
        <f t="shared" si="8"/>
        <v>0</v>
      </c>
      <c r="G41" s="73">
        <f t="shared" si="8"/>
        <v>0</v>
      </c>
      <c r="H41" s="73">
        <f t="shared" si="8"/>
        <v>0</v>
      </c>
      <c r="I41" s="73">
        <f>SUM(C41:H41)</f>
        <v>0</v>
      </c>
    </row>
    <row r="42" spans="2:9" ht="21">
      <c r="B42" s="67"/>
      <c r="C42" s="47"/>
      <c r="D42" s="47"/>
      <c r="E42" s="47"/>
      <c r="F42" s="47"/>
      <c r="G42" s="47"/>
      <c r="H42" s="47"/>
      <c r="I42" s="47"/>
    </row>
    <row r="43" spans="2:9" ht="21">
      <c r="B43" s="76"/>
      <c r="C43" s="77">
        <f t="shared" ref="C43:I43" si="9">C23+C33+C41</f>
        <v>0</v>
      </c>
      <c r="D43" s="77">
        <f t="shared" si="9"/>
        <v>11642.25</v>
      </c>
      <c r="E43" s="77">
        <f t="shared" si="9"/>
        <v>10286.25</v>
      </c>
      <c r="F43" s="77">
        <f t="shared" si="9"/>
        <v>11367</v>
      </c>
      <c r="G43" s="77">
        <f t="shared" si="9"/>
        <v>0</v>
      </c>
      <c r="H43" s="77">
        <f t="shared" si="9"/>
        <v>0</v>
      </c>
      <c r="I43" s="77">
        <f t="shared" si="9"/>
        <v>33295.5</v>
      </c>
    </row>
    <row r="46" spans="2:9" ht="18.75">
      <c r="B46" s="19" t="s">
        <v>22</v>
      </c>
      <c r="C46" s="20" t="s">
        <v>20</v>
      </c>
      <c r="D46" s="20" t="s">
        <v>20</v>
      </c>
      <c r="E46" s="20" t="s">
        <v>20</v>
      </c>
      <c r="F46" s="20" t="s">
        <v>20</v>
      </c>
      <c r="G46" s="26" t="s">
        <v>21</v>
      </c>
    </row>
    <row r="47" spans="2:9" ht="21">
      <c r="B47" s="67" t="s">
        <v>123</v>
      </c>
      <c r="C47" s="47">
        <v>5209</v>
      </c>
      <c r="D47" s="47">
        <v>0</v>
      </c>
      <c r="E47" s="47">
        <v>0</v>
      </c>
      <c r="F47" s="47">
        <v>0</v>
      </c>
      <c r="G47" s="68">
        <f>C47+D47+E47+F47</f>
        <v>5209</v>
      </c>
      <c r="I47" s="2"/>
    </row>
    <row r="48" spans="2:9" ht="21">
      <c r="B48" s="177" t="s">
        <v>124</v>
      </c>
      <c r="C48" s="178">
        <v>0</v>
      </c>
      <c r="D48" s="47">
        <v>2523</v>
      </c>
      <c r="E48" s="47">
        <v>0</v>
      </c>
      <c r="F48" s="47">
        <v>0</v>
      </c>
      <c r="G48" s="68">
        <f t="shared" ref="G48:G54" si="10">C48+D48+E48+F48</f>
        <v>2523</v>
      </c>
    </row>
    <row r="49" spans="2:10" ht="21">
      <c r="B49" s="177" t="s">
        <v>104</v>
      </c>
      <c r="C49" s="178">
        <v>0</v>
      </c>
      <c r="D49" s="47">
        <v>0</v>
      </c>
      <c r="E49" s="47">
        <v>1570</v>
      </c>
      <c r="F49" s="47">
        <v>0</v>
      </c>
      <c r="G49" s="68">
        <f t="shared" si="10"/>
        <v>1570</v>
      </c>
    </row>
    <row r="50" spans="2:10" ht="21">
      <c r="B50" s="177" t="s">
        <v>120</v>
      </c>
      <c r="C50" s="47">
        <v>0</v>
      </c>
      <c r="D50" s="47">
        <v>0</v>
      </c>
      <c r="E50" s="47">
        <v>2181</v>
      </c>
      <c r="F50" s="47">
        <v>0</v>
      </c>
      <c r="G50" s="68">
        <f t="shared" si="10"/>
        <v>2181</v>
      </c>
    </row>
    <row r="51" spans="2:10" ht="21">
      <c r="B51" s="67" t="s">
        <v>125</v>
      </c>
      <c r="C51" s="47">
        <v>0</v>
      </c>
      <c r="D51" s="47">
        <v>800</v>
      </c>
      <c r="E51" s="47">
        <v>0</v>
      </c>
      <c r="F51" s="47">
        <v>0</v>
      </c>
      <c r="G51" s="68">
        <f t="shared" si="10"/>
        <v>800</v>
      </c>
    </row>
    <row r="52" spans="2:10" ht="21">
      <c r="B52" s="67" t="s">
        <v>126</v>
      </c>
      <c r="C52" s="47">
        <v>0</v>
      </c>
      <c r="D52" s="47">
        <v>0</v>
      </c>
      <c r="E52" s="47">
        <v>2931</v>
      </c>
      <c r="F52" s="47">
        <v>0</v>
      </c>
      <c r="G52" s="68">
        <f t="shared" si="10"/>
        <v>2931</v>
      </c>
    </row>
    <row r="53" spans="2:10" ht="21">
      <c r="B53" s="67" t="s">
        <v>127</v>
      </c>
      <c r="C53" s="47">
        <v>1218</v>
      </c>
      <c r="D53" s="47">
        <v>0</v>
      </c>
      <c r="E53" s="47">
        <v>0</v>
      </c>
      <c r="F53" s="47">
        <v>0</v>
      </c>
      <c r="G53" s="68">
        <f t="shared" ref="G53" si="11">C53+D53+E53+F53</f>
        <v>1218</v>
      </c>
    </row>
    <row r="54" spans="2:10" ht="21">
      <c r="B54" s="67" t="s">
        <v>28</v>
      </c>
      <c r="C54" s="47">
        <v>168</v>
      </c>
      <c r="D54" s="47">
        <v>0</v>
      </c>
      <c r="E54" s="47">
        <v>0</v>
      </c>
      <c r="F54" s="47">
        <v>0</v>
      </c>
      <c r="G54" s="68">
        <f t="shared" si="10"/>
        <v>168</v>
      </c>
      <c r="I54" s="113"/>
      <c r="J54" s="92"/>
    </row>
    <row r="55" spans="2:10" ht="21">
      <c r="B55" s="69" t="s">
        <v>21</v>
      </c>
      <c r="C55" s="57">
        <f>SUM(C47:C54)</f>
        <v>6595</v>
      </c>
      <c r="D55" s="57">
        <f>SUM(D47:D54)</f>
        <v>3323</v>
      </c>
      <c r="E55" s="57">
        <f>SUM(E47:E54)</f>
        <v>6682</v>
      </c>
      <c r="F55" s="57">
        <f>SUM(F47:F54)</f>
        <v>0</v>
      </c>
      <c r="G55" s="70">
        <f>SUM(G47:G54)</f>
        <v>16600</v>
      </c>
    </row>
    <row r="56" spans="2:10" ht="21">
      <c r="B56" s="71" t="s">
        <v>24</v>
      </c>
      <c r="C56" s="58">
        <v>1.35</v>
      </c>
      <c r="D56" s="58">
        <v>1</v>
      </c>
      <c r="E56" s="58">
        <v>1.45</v>
      </c>
      <c r="F56" s="58">
        <v>2</v>
      </c>
      <c r="G56" s="56"/>
    </row>
    <row r="57" spans="2:10" ht="21">
      <c r="B57" s="72" t="s">
        <v>11</v>
      </c>
      <c r="C57" s="73">
        <f>C55*C56</f>
        <v>8903.25</v>
      </c>
      <c r="D57" s="73">
        <f>D55*D56</f>
        <v>3323</v>
      </c>
      <c r="E57" s="73">
        <f>E55*E56</f>
        <v>9688.9</v>
      </c>
      <c r="F57" s="73">
        <f>F55*F56</f>
        <v>0</v>
      </c>
      <c r="G57" s="179">
        <f>C57+D57+E57+F57</f>
        <v>21915.15</v>
      </c>
      <c r="H57" s="61">
        <f>G57/G55</f>
        <v>1.3201897590361447</v>
      </c>
    </row>
    <row r="58" spans="2:10" ht="21">
      <c r="B58" s="65"/>
      <c r="C58" s="65"/>
      <c r="D58" s="65"/>
      <c r="E58" s="65"/>
      <c r="F58" s="65"/>
    </row>
    <row r="59" spans="2:10" ht="21">
      <c r="B59" s="65"/>
      <c r="C59" s="65"/>
      <c r="D59" s="65"/>
      <c r="E59" s="65"/>
      <c r="F59" s="65"/>
      <c r="G59" s="65"/>
    </row>
    <row r="60" spans="2:10" ht="28.5">
      <c r="B60" s="76"/>
      <c r="C60" s="77">
        <f>C57</f>
        <v>8903.25</v>
      </c>
      <c r="D60" s="77">
        <f t="shared" ref="D60:F60" si="12">D57</f>
        <v>3323</v>
      </c>
      <c r="E60" s="77">
        <f t="shared" si="12"/>
        <v>9688.9</v>
      </c>
      <c r="F60" s="77">
        <f t="shared" si="12"/>
        <v>0</v>
      </c>
      <c r="G60" s="77">
        <f>C60+D60+E60+F60</f>
        <v>21915.15</v>
      </c>
      <c r="H60" s="48">
        <v>21758.15</v>
      </c>
      <c r="I60" s="48">
        <f>G60-H60</f>
        <v>157</v>
      </c>
    </row>
    <row r="62" spans="2:10" ht="28.5">
      <c r="C62" s="50"/>
      <c r="D62" s="50"/>
    </row>
    <row r="64" spans="2:10">
      <c r="C64" s="51"/>
      <c r="D64" s="51"/>
    </row>
  </sheetData>
  <mergeCells count="1">
    <mergeCell ref="B1:H1"/>
  </mergeCells>
  <pageMargins left="0.7" right="0.7" top="0.75" bottom="0.75" header="0.3" footer="0.3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PRODUCTION</vt:lpstr>
      <vt:lpstr>tailor list (2)</vt:lpstr>
      <vt:lpstr>FC-PCS WORK -BUTTON &amp; RIVETS</vt:lpstr>
      <vt:lpstr>FC- PCS WORK -TRIM &amp; CHECK</vt:lpstr>
      <vt:lpstr>'FC- PCS WORK -TRIM &amp; CHECK'!Print_Area</vt:lpstr>
      <vt:lpstr>'FC-PCS WORK -BUTTON &amp; RIVETS'!Print_Area</vt:lpstr>
      <vt:lpstr>PRODUCTION!Print_Area</vt:lpstr>
      <vt:lpstr>'tailor list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2025-03-22T14:29:39Z</dcterms:modified>
</cp:coreProperties>
</file>